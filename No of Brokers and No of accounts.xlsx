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44" documentId="8_{D906692C-4C0C-42DA-9D5A-5A05C5F06D5F}" xr6:coauthVersionLast="47" xr6:coauthVersionMax="47" xr10:uidLastSave="{12591471-01DC-4EBE-9C5F-DAFDC5CCB137}"/>
  <bookViews>
    <workbookView xWindow="-120" yWindow="-120" windowWidth="29040" windowHeight="15720" activeTab="1" xr2:uid="{2956C8BA-FF58-41B4-A634-4B0CF0C0799C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4" i="2"/>
  <c r="I52" i="2"/>
</calcChain>
</file>

<file path=xl/sharedStrings.xml><?xml version="1.0" encoding="utf-8"?>
<sst xmlns="http://schemas.openxmlformats.org/spreadsheetml/2006/main" count="356" uniqueCount="151">
  <si>
    <t>Alberto Pasini</t>
  </si>
  <si>
    <t>Vontobel</t>
  </si>
  <si>
    <t>CIGP</t>
  </si>
  <si>
    <t>Antonio Miguel Velasco</t>
  </si>
  <si>
    <t>Alwyn Show</t>
  </si>
  <si>
    <t>Bella Yao</t>
  </si>
  <si>
    <t>Futu</t>
  </si>
  <si>
    <t>Dee Ng</t>
  </si>
  <si>
    <t>Citi</t>
  </si>
  <si>
    <t>Hang Seng</t>
  </si>
  <si>
    <t>HSBC</t>
  </si>
  <si>
    <t>Echoe Fung</t>
  </si>
  <si>
    <t>Chief</t>
  </si>
  <si>
    <t>Guillermo Muros</t>
  </si>
  <si>
    <t>Revolut</t>
  </si>
  <si>
    <t>Saxo Bank</t>
  </si>
  <si>
    <t>Guillaume Page</t>
  </si>
  <si>
    <t>UBS</t>
  </si>
  <si>
    <t>Hugues de Saint Seine</t>
  </si>
  <si>
    <t>Jasdeep Sethi</t>
  </si>
  <si>
    <t>Christfund</t>
  </si>
  <si>
    <t>Jaya Ramesh Chaliki</t>
  </si>
  <si>
    <t>Jess Cheung</t>
  </si>
  <si>
    <t>John Rinold</t>
  </si>
  <si>
    <t>Angel Broking</t>
  </si>
  <si>
    <t>Julius Chau</t>
  </si>
  <si>
    <t>Sofi</t>
  </si>
  <si>
    <t>Xuan-Lam Nguyen Tang</t>
  </si>
  <si>
    <t>Lisa Cheung</t>
  </si>
  <si>
    <t>Lluvia Wu</t>
  </si>
  <si>
    <t>Luca Gentzbourger</t>
  </si>
  <si>
    <t>RHF</t>
  </si>
  <si>
    <t>Luciano Tattoni</t>
  </si>
  <si>
    <t>BPDG</t>
  </si>
  <si>
    <t>Nicolas Staerkle</t>
  </si>
  <si>
    <t>Shirin Staerkle (Wife)</t>
  </si>
  <si>
    <t>Philippe Herminjard</t>
  </si>
  <si>
    <t>Credit Suisse AG Switzerland</t>
  </si>
  <si>
    <t>Rain Lin</t>
  </si>
  <si>
    <t>William Chan</t>
  </si>
  <si>
    <t>Wing Or</t>
  </si>
  <si>
    <t>Bank of China</t>
  </si>
  <si>
    <t>Yao Wang</t>
  </si>
  <si>
    <t>Jackie Yam</t>
  </si>
  <si>
    <t>Standard Chartered Bank (Hong Kong) Limited</t>
  </si>
  <si>
    <t>Alexandre Pol</t>
  </si>
  <si>
    <t>Credit Agricole Paris - France</t>
  </si>
  <si>
    <t>Equate Plus</t>
  </si>
  <si>
    <t>Anja Lee Pol-Soerensen</t>
  </si>
  <si>
    <t>Connie Jiang</t>
  </si>
  <si>
    <t>Darcy Xiao</t>
  </si>
  <si>
    <t>Moomoo Financial Singapore Pte. Ltd.</t>
  </si>
  <si>
    <t>Huatai Securities</t>
  </si>
  <si>
    <t>Orient Securities Co., Ltd.</t>
  </si>
  <si>
    <t>Sunny Zhao</t>
  </si>
  <si>
    <t>China Construction Bank</t>
  </si>
  <si>
    <t>Firstrade</t>
  </si>
  <si>
    <t>Andrew Sasson</t>
  </si>
  <si>
    <t>Ariel Tang</t>
  </si>
  <si>
    <t>Halle Son</t>
  </si>
  <si>
    <t>Hailey Zhou</t>
  </si>
  <si>
    <t>Jacob Qi</t>
  </si>
  <si>
    <t>Mainland China Investments</t>
  </si>
  <si>
    <t>Jericho Mesina</t>
  </si>
  <si>
    <t>MESINA JARI SEBASTIAN ESCARIO</t>
  </si>
  <si>
    <t>Matthias Lanzoni</t>
  </si>
  <si>
    <t>Fundsmith</t>
  </si>
  <si>
    <t>flatexDEGIRO Bank</t>
  </si>
  <si>
    <t>Suzanne Yau</t>
  </si>
  <si>
    <t>JPMorgan Asset Management</t>
  </si>
  <si>
    <t>Jessie Duong</t>
  </si>
  <si>
    <t>Wealth Simple</t>
  </si>
  <si>
    <t>Dowson Zheng</t>
  </si>
  <si>
    <t>Alexander Tsikouras</t>
  </si>
  <si>
    <t>LGT Bank</t>
  </si>
  <si>
    <t>Sophie Hor</t>
  </si>
  <si>
    <t>Jimmy Harry</t>
  </si>
  <si>
    <t>Trading 212</t>
  </si>
  <si>
    <t>Trade Republic</t>
  </si>
  <si>
    <t>Sebastien Waefler</t>
  </si>
  <si>
    <t>Swissquote</t>
  </si>
  <si>
    <t>Thibaut De Rocquigny</t>
  </si>
  <si>
    <t>Rafal Koziarz</t>
  </si>
  <si>
    <t>Fortuneo</t>
  </si>
  <si>
    <t>Canadian Imperial Bank of Commerce</t>
  </si>
  <si>
    <t>Toronto-Dominion Bank</t>
  </si>
  <si>
    <t>Row Labels</t>
  </si>
  <si>
    <t>Grand Total</t>
  </si>
  <si>
    <t>Count of A/C Number</t>
  </si>
  <si>
    <t>Total</t>
  </si>
  <si>
    <t>Name</t>
  </si>
  <si>
    <t>No of accounts</t>
  </si>
  <si>
    <t>Name of the Brokers</t>
  </si>
  <si>
    <t>Al************</t>
  </si>
  <si>
    <t>Al*****************</t>
  </si>
  <si>
    <t>Al***********</t>
  </si>
  <si>
    <t>Al********</t>
  </si>
  <si>
    <t>An***********</t>
  </si>
  <si>
    <t>An********************</t>
  </si>
  <si>
    <t>Ar********</t>
  </si>
  <si>
    <t>Be*******</t>
  </si>
  <si>
    <t>Da********</t>
  </si>
  <si>
    <t>De****</t>
  </si>
  <si>
    <t>Do**********</t>
  </si>
  <si>
    <t>Ec********</t>
  </si>
  <si>
    <t>Gu************</t>
  </si>
  <si>
    <t>Gu*************</t>
  </si>
  <si>
    <t>Ha*********</t>
  </si>
  <si>
    <t>Ha*******</t>
  </si>
  <si>
    <t>Hu*******************</t>
  </si>
  <si>
    <t>Ja********</t>
  </si>
  <si>
    <t>Ja******</t>
  </si>
  <si>
    <t>Ja***********</t>
  </si>
  <si>
    <t>Ja*****************</t>
  </si>
  <si>
    <t>Je************</t>
  </si>
  <si>
    <t>Je*********</t>
  </si>
  <si>
    <t>Je**********</t>
  </si>
  <si>
    <t>Ji*********</t>
  </si>
  <si>
    <t>Jo*********</t>
  </si>
  <si>
    <t>Ju*********</t>
  </si>
  <si>
    <t>Li*********</t>
  </si>
  <si>
    <t>Ll*******</t>
  </si>
  <si>
    <t>Lu***************</t>
  </si>
  <si>
    <t>Lu*************</t>
  </si>
  <si>
    <t>Ma**************</t>
  </si>
  <si>
    <t>ME***************************</t>
  </si>
  <si>
    <t>Ni**************</t>
  </si>
  <si>
    <t>Ph*****************</t>
  </si>
  <si>
    <t>Ra***********</t>
  </si>
  <si>
    <t>Ra******</t>
  </si>
  <si>
    <t>Se***************</t>
  </si>
  <si>
    <t>Sh********************</t>
  </si>
  <si>
    <t>So********</t>
  </si>
  <si>
    <t>Su********</t>
  </si>
  <si>
    <t>Su*********</t>
  </si>
  <si>
    <t>Th******************</t>
  </si>
  <si>
    <t>Wi**********</t>
  </si>
  <si>
    <t>Wi*****</t>
  </si>
  <si>
    <t>Xu******************</t>
  </si>
  <si>
    <t>Ya******</t>
  </si>
  <si>
    <t>How many people got an account with</t>
  </si>
  <si>
    <t>CSV</t>
  </si>
  <si>
    <t>PDF</t>
  </si>
  <si>
    <t>Image</t>
  </si>
  <si>
    <t>Interactive Brokers</t>
  </si>
  <si>
    <t>Y (Only one)</t>
  </si>
  <si>
    <t>Y</t>
  </si>
  <si>
    <t>N</t>
  </si>
  <si>
    <t>NA</t>
  </si>
  <si>
    <t>Charles Schwab</t>
  </si>
  <si>
    <t>Others(please 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</si>
</sst>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ITC Avant Garde Pro Bk"/>
      <family val="2"/>
    </font>
    <font>
      <b/>
      <sz val="10"/>
      <color theme="1"/>
      <name val="ITC Avant Garde Pro Bk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FA35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0" borderId="1" xfId="0" applyBorder="1"/>
    <xf numFmtId="0" fontId="1" fillId="3" borderId="1" xfId="0" applyFont="1" applyFill="1" applyBorder="1"/>
    <xf numFmtId="0" fontId="0" fillId="3" borderId="0" xfId="0" applyFill="1" applyAlignment="1">
      <alignment horizontal="left"/>
    </xf>
    <xf numFmtId="0" fontId="0" fillId="3" borderId="0" xfId="0" applyFill="1"/>
    <xf numFmtId="0" fontId="1" fillId="5" borderId="2" xfId="0" applyFont="1" applyFill="1" applyBorder="1"/>
    <xf numFmtId="0" fontId="3" fillId="3" borderId="0" xfId="0" applyFont="1" applyFill="1"/>
    <xf numFmtId="0" fontId="5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solid"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ITC Avant Garde Pro Bk"/>
        <family val="2"/>
        <scheme val="none"/>
      </font>
      <fill>
        <patternFill patternType="solid">
          <fgColor indexed="64"/>
          <bgColor rgb="FFCFA35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Rinold" refreshedDate="46190.499542476849" createdVersion="8" refreshedVersion="8" minRefreshableVersion="3" recordCount="96" xr:uid="{83D78234-4818-4CF8-94C0-80A97049D1C7}">
  <cacheSource type="worksheet">
    <worksheetSource ref="A1:H97" sheet="Sheet1"/>
  </cacheSource>
  <cacheFields count="3">
    <cacheField name="Staff Names as per CIGP" numFmtId="0">
      <sharedItems count="52">
        <s v="Alberto Pasini"/>
        <s v="Antonio Miguel Velasco"/>
        <s v="Alwyn Show"/>
        <s v="Bella Yao"/>
        <s v="Dee Ng"/>
        <s v="Echoe Fung"/>
        <s v="Guillermo Muros"/>
        <s v="Guillaume Page"/>
        <s v="Hugues de Saint Seine"/>
        <s v="Jasdeep Sethi"/>
        <s v="Jaya Ramesh Chaliki"/>
        <s v="Jess Cheung"/>
        <s v="John Rinold"/>
        <s v="Julius Chau"/>
        <s v="Xuan-Lam Nguyen Tang"/>
        <s v="Lisa Cheung"/>
        <s v="Lluvia Wu"/>
        <s v="Luca Gentzbourger"/>
        <s v="Luciano Tattoni"/>
        <s v="Nicolas Staerkle"/>
        <s v="Shirin Staerkle (Wife)"/>
        <s v="Philippe Herminjard"/>
        <s v="Stephanie Herminjard (Wife)"/>
        <s v="Rain Lin"/>
        <s v="William Chan"/>
        <s v="Wing Or"/>
        <s v="Yao Wang"/>
        <s v="Zenobia Lo"/>
        <s v="Jackie Yam"/>
        <s v="Alexandre Pol"/>
        <s v="Anja Lee Pol-Soerensen"/>
        <s v="Connie Jiang"/>
        <s v="Darcy Xiao"/>
        <s v="Sunny Zhao"/>
        <s v="Andrew Sasson"/>
        <s v="Ariel Tang"/>
        <s v="Halle Son"/>
        <s v="Lisa Lee"/>
        <s v="Hailey Zhou"/>
        <s v="Jacob Qi"/>
        <s v="Jericho Mesina"/>
        <s v="MESINA JARI SEBASTIAN ESCARIO"/>
        <s v="Matthias Lanzoni"/>
        <s v="Suzanne Yau"/>
        <s v="Jessie Duong"/>
        <s v="Dowson Zheng"/>
        <s v="Alexander Tsikouras"/>
        <s v="Sophie Hor"/>
        <s v="Jimmy Harry"/>
        <s v="Sebastien Waefler"/>
        <s v="Thibaut De Rocquigny"/>
        <s v="Rafal Koziarz"/>
      </sharedItems>
    </cacheField>
    <cacheField name="Broker" numFmtId="0">
      <sharedItems/>
    </cacheField>
    <cacheField name="A/C Number" numFmtId="0">
      <sharedItems containsBlank="1" containsMixedTypes="1" containsNumber="1" minValue="9702" maxValue="660016376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s v="Interactive Brokers "/>
    <s v="U8101130"/>
  </r>
  <r>
    <x v="0"/>
    <s v="Vontobel"/>
    <n v="504324"/>
  </r>
  <r>
    <x v="0"/>
    <s v="CIGP"/>
    <s v="I-HCA-EX-485-22-RF"/>
  </r>
  <r>
    <x v="1"/>
    <s v="Interactive Brokers "/>
    <s v="U10879983"/>
  </r>
  <r>
    <x v="2"/>
    <s v="Interactive Brokers "/>
    <s v="U6554315"/>
  </r>
  <r>
    <x v="3"/>
    <s v="Futu"/>
    <s v="1001238663152827"/>
  </r>
  <r>
    <x v="4"/>
    <s v="Citi"/>
    <n v="38587173"/>
  </r>
  <r>
    <x v="4"/>
    <s v="Hang Seng"/>
    <s v="782001085888"/>
  </r>
  <r>
    <x v="4"/>
    <s v="HSBC"/>
    <s v="404-493017-380"/>
  </r>
  <r>
    <x v="5"/>
    <s v="Chief"/>
    <s v="P28077"/>
  </r>
  <r>
    <x v="5"/>
    <s v="Chief"/>
    <s v="MQ28077"/>
  </r>
  <r>
    <x v="6"/>
    <s v="Fortuneo / Compte-titres"/>
    <s v="017270209616"/>
  </r>
  <r>
    <x v="6"/>
    <s v="Fortuneo / PEA"/>
    <n v="17270209601"/>
  </r>
  <r>
    <x v="6"/>
    <s v="Revolut"/>
    <n v="26956216"/>
  </r>
  <r>
    <x v="6"/>
    <s v="Saxo Bank"/>
    <n v="20659643"/>
  </r>
  <r>
    <x v="7"/>
    <s v="Interactive Brokers "/>
    <s v="U3223268"/>
  </r>
  <r>
    <x v="7"/>
    <s v="UBS"/>
    <n v="24094541601"/>
  </r>
  <r>
    <x v="8"/>
    <s v="CIGP"/>
    <s v="S-HCA-EX-401-21-HD"/>
  </r>
  <r>
    <x v="8"/>
    <s v="CIGP"/>
    <s v="2-S-HCA-EX-401-21-HD"/>
  </r>
  <r>
    <x v="8"/>
    <s v="CIGP"/>
    <s v="3-S-HCA-EX-401-21-HD"/>
  </r>
  <r>
    <x v="9"/>
    <s v="Christfund"/>
    <s v="PY0612"/>
  </r>
  <r>
    <x v="9"/>
    <s v="HSBC"/>
    <s v="622183457888"/>
  </r>
  <r>
    <x v="10"/>
    <s v="Interactive Brokers "/>
    <s v="U19638060"/>
  </r>
  <r>
    <x v="10"/>
    <s v="HSBC"/>
    <s v="469665889380"/>
  </r>
  <r>
    <x v="11"/>
    <s v="SCB"/>
    <n v="2928507"/>
  </r>
  <r>
    <x v="11"/>
    <s v="Futu"/>
    <s v="1001203176279238"/>
  </r>
  <r>
    <x v="12"/>
    <s v="Angel Broking"/>
    <s v="ROHH1072"/>
  </r>
  <r>
    <x v="13"/>
    <s v="Interactive Brokers "/>
    <s v="U6382023"/>
  </r>
  <r>
    <x v="13"/>
    <s v="Sofi"/>
    <s v="7553D273-53DE8ECA"/>
  </r>
  <r>
    <x v="13"/>
    <s v="Sofi"/>
    <s v="7553D273-4245FC2E"/>
  </r>
  <r>
    <x v="13"/>
    <s v="Sofi"/>
    <s v="7553D273-57FE07659"/>
  </r>
  <r>
    <x v="14"/>
    <s v="Vontobel"/>
    <n v="503984"/>
  </r>
  <r>
    <x v="15"/>
    <s v="Interactive Brokers"/>
    <s v="U5052682"/>
  </r>
  <r>
    <x v="16"/>
    <s v="Futu"/>
    <s v="1001219660767188"/>
  </r>
  <r>
    <x v="17"/>
    <s v="RHF"/>
    <n v="778608653"/>
  </r>
  <r>
    <x v="17"/>
    <s v="TD Ameritrade / Charles Schwab "/>
    <n v="277954350"/>
  </r>
  <r>
    <x v="18"/>
    <s v="BPDG"/>
    <n v="9702"/>
  </r>
  <r>
    <x v="19"/>
    <s v="Vontobel"/>
    <n v="504069.00099999999"/>
  </r>
  <r>
    <x v="19"/>
    <s v="Vontobel"/>
    <n v="504069.00199999998"/>
  </r>
  <r>
    <x v="19"/>
    <s v="Vontobel"/>
    <n v="504069.00300000003"/>
  </r>
  <r>
    <x v="20"/>
    <s v="Vontobel"/>
    <n v="504088.00099999999"/>
  </r>
  <r>
    <x v="21"/>
    <s v="Credit Suisse AG Switzerland"/>
    <s v="S 960477-45"/>
  </r>
  <r>
    <x v="22"/>
    <s v="HSBC HK"/>
    <s v="571-196724-380"/>
  </r>
  <r>
    <x v="23"/>
    <s v="Futu"/>
    <s v="1001251235058392"/>
  </r>
  <r>
    <x v="24"/>
    <s v="Citi"/>
    <n v="25435434"/>
  </r>
  <r>
    <x v="24"/>
    <s v="Citi"/>
    <n v="33365318"/>
  </r>
  <r>
    <x v="25"/>
    <s v="Bank of China"/>
    <s v="01266663182241"/>
  </r>
  <r>
    <x v="25"/>
    <s v="Interactive Brokers"/>
    <s v="U11196187"/>
  </r>
  <r>
    <x v="26"/>
    <s v="HSBC"/>
    <s v="405240219380"/>
  </r>
  <r>
    <x v="27"/>
    <s v="Sofi"/>
    <s v="39CCB5C7-B956FACF"/>
  </r>
  <r>
    <x v="28"/>
    <s v="Standard Chartered Bank (Hong Kong) Limited"/>
    <s v="005141500"/>
  </r>
  <r>
    <x v="29"/>
    <s v="Credit Agricole Paris - France"/>
    <s v="09816131601"/>
  </r>
  <r>
    <x v="29"/>
    <s v="HSBC HK"/>
    <s v="813-079530-380"/>
  </r>
  <r>
    <x v="29"/>
    <s v="Equate Plus"/>
    <s v="201724134"/>
  </r>
  <r>
    <x v="30"/>
    <s v="Interactive Brokers"/>
    <s v="U12083781"/>
  </r>
  <r>
    <x v="31"/>
    <s v="HSBC"/>
    <s v="100-839331-380"/>
  </r>
  <r>
    <x v="32"/>
    <s v="Futu"/>
    <s v="1001 2961 8625 3373"/>
  </r>
  <r>
    <x v="32"/>
    <s v="Futu"/>
    <s v="1001 2986 8016 0976"/>
  </r>
  <r>
    <x v="32"/>
    <s v="Moomoo Financial Singapore Pte. Ltd."/>
    <s v="1008281087505638"/>
  </r>
  <r>
    <x v="32"/>
    <s v="Huatai Securities"/>
    <s v="666632646561"/>
  </r>
  <r>
    <x v="32"/>
    <s v="Orient Securities Co., Ltd."/>
    <n v="32822448"/>
  </r>
  <r>
    <x v="33"/>
    <s v="China Construction Bank"/>
    <s v="6217007200086650000"/>
  </r>
  <r>
    <x v="33"/>
    <s v="Firstrade"/>
    <s v="877-13419-17 "/>
  </r>
  <r>
    <x v="34"/>
    <s v="UBS"/>
    <s v="0243 F8342376 0002"/>
  </r>
  <r>
    <x v="35"/>
    <s v="Bank of China"/>
    <s v="012-806-63-22647-7"/>
  </r>
  <r>
    <x v="35"/>
    <s v="Futu"/>
    <s v="1001203219583633"/>
  </r>
  <r>
    <x v="35"/>
    <s v="Interactive Brokers "/>
    <s v="U12833313"/>
  </r>
  <r>
    <x v="36"/>
    <s v="Charles Schwab"/>
    <s v="3446-9515"/>
  </r>
  <r>
    <x v="37"/>
    <s v="HSBC"/>
    <s v="431-080944-380"/>
  </r>
  <r>
    <x v="38"/>
    <s v="Interactive Brokers (IBKR)"/>
    <s v="U13280318"/>
  </r>
  <r>
    <x v="39"/>
    <s v="Standard Chartered Bank (Hong Kong) Limited"/>
    <n v="120591750101"/>
  </r>
  <r>
    <x v="39"/>
    <s v="Standard Chartered Bank (Hong Kong) Limited"/>
    <n v="120591750101"/>
  </r>
  <r>
    <x v="39"/>
    <s v="Mainland China Investments"/>
    <m/>
  </r>
  <r>
    <x v="40"/>
    <s v="HSBC"/>
    <s v="736-028663-380"/>
  </r>
  <r>
    <x v="41"/>
    <s v="HSBC"/>
    <s v="736-032582-833"/>
  </r>
  <r>
    <x v="42"/>
    <s v="Interactive Brokers "/>
    <s v="U19936576"/>
  </r>
  <r>
    <x v="42"/>
    <s v="Fundsmith"/>
    <m/>
  </r>
  <r>
    <x v="42"/>
    <s v="flatexDEGIRO Bank"/>
    <s v="Degiro I,II,III"/>
  </r>
  <r>
    <x v="43"/>
    <s v="Interactive Brokers"/>
    <s v="U9157195"/>
  </r>
  <r>
    <x v="43"/>
    <s v="JPMorgan Asset Management"/>
    <s v="880086841351"/>
  </r>
  <r>
    <x v="44"/>
    <s v="Canadian Imperial Bank of Commerce - TFSA"/>
    <n v="1024833388"/>
  </r>
  <r>
    <x v="44"/>
    <s v="Wealth Simple"/>
    <s v="HK20252304CAD"/>
  </r>
  <r>
    <x v="44"/>
    <s v="Canadian Imperial Bank of Commerce - FHSA"/>
    <n v="1001040973"/>
  </r>
  <r>
    <x v="44"/>
    <s v="Canadian Imperial Bank of Commerce - GIC"/>
    <n v="42298919"/>
  </r>
  <r>
    <x v="45"/>
    <s v="Toronto-Dominion Bank - TFSA"/>
    <n v="660016376897"/>
  </r>
  <r>
    <x v="45"/>
    <s v="Toronto-Dominion Bank - FHSA"/>
    <s v="660018358289"/>
  </r>
  <r>
    <x v="46"/>
    <s v="LGT Bank"/>
    <n v="110240.00199999999"/>
  </r>
  <r>
    <x v="47"/>
    <s v="Interactive Brokers "/>
    <s v="U10700108"/>
  </r>
  <r>
    <x v="48"/>
    <s v="Trading 212"/>
    <n v="4712649"/>
  </r>
  <r>
    <x v="48"/>
    <s v="Trade Republic"/>
    <s v="DE87 1207 0070 0120 4372 06"/>
  </r>
  <r>
    <x v="48"/>
    <s v="Interactive Broker"/>
    <s v="U24423605"/>
  </r>
  <r>
    <x v="49"/>
    <s v="Swissquote"/>
    <n v="2593050"/>
  </r>
  <r>
    <x v="50"/>
    <s v="Interactive Brokers "/>
    <s v="U19851133"/>
  </r>
  <r>
    <x v="50"/>
    <s v="Equate Plus"/>
    <n v="7539344"/>
  </r>
  <r>
    <x v="50"/>
    <s v="HSBC"/>
    <s v="611539677888"/>
  </r>
  <r>
    <x v="51"/>
    <s v="Futubull"/>
    <s v="10012169870072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B4FEA-97F2-420B-9713-C9BB319B31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3">
    <pivotField axis="axisRow" showAll="0">
      <items count="53">
        <item x="0"/>
        <item x="46"/>
        <item x="29"/>
        <item x="2"/>
        <item x="34"/>
        <item x="30"/>
        <item x="1"/>
        <item x="35"/>
        <item x="3"/>
        <item x="31"/>
        <item x="32"/>
        <item x="4"/>
        <item x="45"/>
        <item x="5"/>
        <item x="7"/>
        <item x="6"/>
        <item x="38"/>
        <item x="36"/>
        <item x="8"/>
        <item x="28"/>
        <item x="39"/>
        <item x="9"/>
        <item x="10"/>
        <item x="40"/>
        <item x="11"/>
        <item x="44"/>
        <item x="48"/>
        <item x="12"/>
        <item x="13"/>
        <item x="15"/>
        <item h="1" x="37"/>
        <item x="16"/>
        <item x="17"/>
        <item x="18"/>
        <item x="42"/>
        <item x="41"/>
        <item x="19"/>
        <item x="21"/>
        <item x="51"/>
        <item x="23"/>
        <item x="49"/>
        <item x="20"/>
        <item x="47"/>
        <item h="1" x="22"/>
        <item x="33"/>
        <item x="43"/>
        <item x="50"/>
        <item x="24"/>
        <item x="25"/>
        <item x="14"/>
        <item x="26"/>
        <item h="1" x="27"/>
        <item t="default"/>
      </items>
    </pivotField>
    <pivotField showAll="0"/>
    <pivotField dataFiel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A/C Number" fld="2" subtotal="count" baseField="0" baseItem="0"/>
  </dataFields>
  <formats count="1">
    <format dxfId="2">
      <pivotArea dataOnly="0" fieldPosition="0">
        <references count="1">
          <reference field="0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0B11A-BF41-4A9D-901A-9451464C33B6}" name="Table1" displayName="Table1" ref="H3:I52" totalsRowShown="0">
  <autoFilter ref="H3:I52" xr:uid="{4F90B11A-BF41-4A9D-901A-9451464C33B6}"/>
  <tableColumns count="2">
    <tableColumn id="1" xr3:uid="{DCA0619B-6C43-43CD-90E8-2F61B713970F}" name="Name"/>
    <tableColumn id="2" xr3:uid="{4D86B9CA-B66A-4FD3-93E0-DBB9129C57E7}" name="No of account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3ED310-9107-4E0C-9669-9E1A82F93939}" name="Table3" displayName="Table3" ref="H1:I50" totalsRowShown="0" headerRowDxfId="5">
  <autoFilter ref="H1:I50" xr:uid="{6F3ED310-9107-4E0C-9669-9E1A82F93939}"/>
  <tableColumns count="2">
    <tableColumn id="1" xr3:uid="{58A27AD3-5B40-4D50-A02E-F32A77292C0B}" name="Name" dataDxfId="4"/>
    <tableColumn id="2" xr3:uid="{16898F84-8FB3-423B-AB01-40CFF5B6F02C}" name="No of account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DEA9-6013-432A-852A-09C692D93876}">
  <dimension ref="A3:I53"/>
  <sheetViews>
    <sheetView topLeftCell="A22" zoomScaleNormal="100" workbookViewId="0">
      <selection activeCell="M22" sqref="M22"/>
    </sheetView>
  </sheetViews>
  <sheetFormatPr defaultRowHeight="15" x14ac:dyDescent="0.25"/>
  <cols>
    <col min="1" max="1" width="30.140625" bestFit="1" customWidth="1"/>
    <col min="2" max="2" width="20.5703125" bestFit="1" customWidth="1"/>
    <col min="5" max="5" width="30.140625" bestFit="1" customWidth="1"/>
    <col min="8" max="8" width="31.28515625" bestFit="1" customWidth="1"/>
    <col min="9" max="9" width="16.5703125" customWidth="1"/>
  </cols>
  <sheetData>
    <row r="3" spans="1:9" x14ac:dyDescent="0.25">
      <c r="A3" s="2" t="s">
        <v>86</v>
      </c>
      <c r="B3" t="s">
        <v>88</v>
      </c>
      <c r="H3" t="s">
        <v>90</v>
      </c>
      <c r="I3" t="s">
        <v>91</v>
      </c>
    </row>
    <row r="4" spans="1:9" x14ac:dyDescent="0.25">
      <c r="A4" s="3" t="s">
        <v>0</v>
      </c>
      <c r="B4">
        <v>3</v>
      </c>
      <c r="E4" s="3" t="s">
        <v>0</v>
      </c>
      <c r="F4">
        <v>3</v>
      </c>
      <c r="H4" t="str">
        <f>LEFT(E4,2)&amp;REPT("*",LEN(E4)-2)</f>
        <v>Al************</v>
      </c>
      <c r="I4">
        <v>3</v>
      </c>
    </row>
    <row r="5" spans="1:9" x14ac:dyDescent="0.25">
      <c r="A5" s="3" t="s">
        <v>73</v>
      </c>
      <c r="B5">
        <v>1</v>
      </c>
      <c r="E5" s="3" t="s">
        <v>73</v>
      </c>
      <c r="F5">
        <v>1</v>
      </c>
      <c r="H5" t="str">
        <f t="shared" ref="H5:H51" si="0">LEFT(E5,2)&amp;REPT("*",LEN(E5)-2)</f>
        <v>Al*****************</v>
      </c>
      <c r="I5">
        <v>1</v>
      </c>
    </row>
    <row r="6" spans="1:9" x14ac:dyDescent="0.25">
      <c r="A6" s="3" t="s">
        <v>45</v>
      </c>
      <c r="B6">
        <v>3</v>
      </c>
      <c r="E6" s="3" t="s">
        <v>45</v>
      </c>
      <c r="F6">
        <v>3</v>
      </c>
      <c r="H6" t="str">
        <f t="shared" si="0"/>
        <v>Al***********</v>
      </c>
      <c r="I6">
        <v>3</v>
      </c>
    </row>
    <row r="7" spans="1:9" x14ac:dyDescent="0.25">
      <c r="A7" s="3" t="s">
        <v>4</v>
      </c>
      <c r="B7">
        <v>1</v>
      </c>
      <c r="E7" s="3" t="s">
        <v>4</v>
      </c>
      <c r="F7">
        <v>1</v>
      </c>
      <c r="H7" t="str">
        <f t="shared" si="0"/>
        <v>Al********</v>
      </c>
      <c r="I7">
        <v>1</v>
      </c>
    </row>
    <row r="8" spans="1:9" x14ac:dyDescent="0.25">
      <c r="A8" s="3" t="s">
        <v>57</v>
      </c>
      <c r="B8">
        <v>1</v>
      </c>
      <c r="E8" s="3" t="s">
        <v>57</v>
      </c>
      <c r="F8">
        <v>1</v>
      </c>
      <c r="H8" t="str">
        <f t="shared" si="0"/>
        <v>An***********</v>
      </c>
      <c r="I8">
        <v>1</v>
      </c>
    </row>
    <row r="9" spans="1:9" x14ac:dyDescent="0.25">
      <c r="A9" s="3" t="s">
        <v>48</v>
      </c>
      <c r="B9">
        <v>1</v>
      </c>
      <c r="E9" s="3" t="s">
        <v>48</v>
      </c>
      <c r="F9">
        <v>1</v>
      </c>
      <c r="H9" t="str">
        <f t="shared" si="0"/>
        <v>An********************</v>
      </c>
      <c r="I9">
        <v>1</v>
      </c>
    </row>
    <row r="10" spans="1:9" x14ac:dyDescent="0.25">
      <c r="A10" s="3" t="s">
        <v>3</v>
      </c>
      <c r="B10">
        <v>1</v>
      </c>
      <c r="E10" s="3" t="s">
        <v>3</v>
      </c>
      <c r="F10">
        <v>1</v>
      </c>
      <c r="H10" t="str">
        <f t="shared" si="0"/>
        <v>An********************</v>
      </c>
      <c r="I10">
        <v>1</v>
      </c>
    </row>
    <row r="11" spans="1:9" x14ac:dyDescent="0.25">
      <c r="A11" s="3" t="s">
        <v>58</v>
      </c>
      <c r="B11">
        <v>3</v>
      </c>
      <c r="E11" s="3" t="s">
        <v>58</v>
      </c>
      <c r="F11">
        <v>3</v>
      </c>
      <c r="H11" t="str">
        <f t="shared" si="0"/>
        <v>Ar********</v>
      </c>
      <c r="I11">
        <v>3</v>
      </c>
    </row>
    <row r="12" spans="1:9" x14ac:dyDescent="0.25">
      <c r="A12" s="3" t="s">
        <v>5</v>
      </c>
      <c r="B12">
        <v>1</v>
      </c>
      <c r="E12" s="3" t="s">
        <v>5</v>
      </c>
      <c r="F12">
        <v>1</v>
      </c>
      <c r="H12" t="str">
        <f t="shared" si="0"/>
        <v>Be*******</v>
      </c>
      <c r="I12">
        <v>1</v>
      </c>
    </row>
    <row r="13" spans="1:9" x14ac:dyDescent="0.25">
      <c r="A13" s="7" t="s">
        <v>49</v>
      </c>
      <c r="B13" s="8">
        <v>1</v>
      </c>
      <c r="E13" s="3" t="s">
        <v>50</v>
      </c>
      <c r="F13">
        <v>5</v>
      </c>
      <c r="H13" t="str">
        <f t="shared" si="0"/>
        <v>Da********</v>
      </c>
      <c r="I13">
        <v>5</v>
      </c>
    </row>
    <row r="14" spans="1:9" x14ac:dyDescent="0.25">
      <c r="A14" s="3" t="s">
        <v>50</v>
      </c>
      <c r="B14">
        <v>5</v>
      </c>
      <c r="E14" s="3" t="s">
        <v>7</v>
      </c>
      <c r="F14">
        <v>3</v>
      </c>
      <c r="H14" t="str">
        <f t="shared" si="0"/>
        <v>De****</v>
      </c>
      <c r="I14">
        <v>3</v>
      </c>
    </row>
    <row r="15" spans="1:9" x14ac:dyDescent="0.25">
      <c r="A15" s="3" t="s">
        <v>7</v>
      </c>
      <c r="B15">
        <v>3</v>
      </c>
      <c r="E15" s="3" t="s">
        <v>72</v>
      </c>
      <c r="F15">
        <v>2</v>
      </c>
      <c r="H15" t="str">
        <f t="shared" si="0"/>
        <v>Do**********</v>
      </c>
      <c r="I15">
        <v>2</v>
      </c>
    </row>
    <row r="16" spans="1:9" x14ac:dyDescent="0.25">
      <c r="A16" s="3" t="s">
        <v>72</v>
      </c>
      <c r="B16">
        <v>2</v>
      </c>
      <c r="E16" s="3" t="s">
        <v>11</v>
      </c>
      <c r="F16">
        <v>2</v>
      </c>
      <c r="H16" t="str">
        <f t="shared" si="0"/>
        <v>Ec********</v>
      </c>
      <c r="I16">
        <v>2</v>
      </c>
    </row>
    <row r="17" spans="1:9" x14ac:dyDescent="0.25">
      <c r="A17" s="3" t="s">
        <v>11</v>
      </c>
      <c r="B17">
        <v>2</v>
      </c>
      <c r="E17" s="3" t="s">
        <v>16</v>
      </c>
      <c r="F17">
        <v>2</v>
      </c>
      <c r="H17" t="str">
        <f t="shared" si="0"/>
        <v>Gu************</v>
      </c>
      <c r="I17">
        <v>2</v>
      </c>
    </row>
    <row r="18" spans="1:9" x14ac:dyDescent="0.25">
      <c r="A18" s="3" t="s">
        <v>16</v>
      </c>
      <c r="B18">
        <v>2</v>
      </c>
      <c r="E18" s="3" t="s">
        <v>13</v>
      </c>
      <c r="F18">
        <v>4</v>
      </c>
      <c r="H18" t="str">
        <f t="shared" si="0"/>
        <v>Gu*************</v>
      </c>
      <c r="I18">
        <v>4</v>
      </c>
    </row>
    <row r="19" spans="1:9" x14ac:dyDescent="0.25">
      <c r="A19" s="3" t="s">
        <v>13</v>
      </c>
      <c r="B19">
        <v>4</v>
      </c>
      <c r="E19" s="3" t="s">
        <v>60</v>
      </c>
      <c r="F19">
        <v>1</v>
      </c>
      <c r="H19" t="str">
        <f t="shared" si="0"/>
        <v>Ha*********</v>
      </c>
      <c r="I19">
        <v>1</v>
      </c>
    </row>
    <row r="20" spans="1:9" x14ac:dyDescent="0.25">
      <c r="A20" s="3" t="s">
        <v>60</v>
      </c>
      <c r="B20">
        <v>1</v>
      </c>
      <c r="E20" s="3" t="s">
        <v>59</v>
      </c>
      <c r="F20">
        <v>1</v>
      </c>
      <c r="H20" t="str">
        <f t="shared" si="0"/>
        <v>Ha*******</v>
      </c>
      <c r="I20">
        <v>1</v>
      </c>
    </row>
    <row r="21" spans="1:9" x14ac:dyDescent="0.25">
      <c r="A21" s="3" t="s">
        <v>59</v>
      </c>
      <c r="B21">
        <v>1</v>
      </c>
      <c r="E21" s="3" t="s">
        <v>18</v>
      </c>
      <c r="F21">
        <v>3</v>
      </c>
      <c r="H21" t="str">
        <f t="shared" si="0"/>
        <v>Hu*******************</v>
      </c>
      <c r="I21">
        <v>3</v>
      </c>
    </row>
    <row r="22" spans="1:9" x14ac:dyDescent="0.25">
      <c r="A22" s="3" t="s">
        <v>18</v>
      </c>
      <c r="B22">
        <v>3</v>
      </c>
      <c r="E22" s="3" t="s">
        <v>43</v>
      </c>
      <c r="F22">
        <v>1</v>
      </c>
      <c r="H22" t="str">
        <f t="shared" si="0"/>
        <v>Ja********</v>
      </c>
      <c r="I22">
        <v>1</v>
      </c>
    </row>
    <row r="23" spans="1:9" x14ac:dyDescent="0.25">
      <c r="A23" s="3" t="s">
        <v>43</v>
      </c>
      <c r="B23">
        <v>1</v>
      </c>
      <c r="E23" s="3" t="s">
        <v>61</v>
      </c>
      <c r="F23">
        <v>2</v>
      </c>
      <c r="H23" t="str">
        <f t="shared" si="0"/>
        <v>Ja******</v>
      </c>
      <c r="I23">
        <v>2</v>
      </c>
    </row>
    <row r="24" spans="1:9" x14ac:dyDescent="0.25">
      <c r="A24" s="3" t="s">
        <v>61</v>
      </c>
      <c r="B24">
        <v>2</v>
      </c>
      <c r="E24" s="3" t="s">
        <v>19</v>
      </c>
      <c r="F24">
        <v>2</v>
      </c>
      <c r="H24" t="str">
        <f t="shared" si="0"/>
        <v>Ja***********</v>
      </c>
      <c r="I24">
        <v>2</v>
      </c>
    </row>
    <row r="25" spans="1:9" x14ac:dyDescent="0.25">
      <c r="A25" s="3" t="s">
        <v>19</v>
      </c>
      <c r="B25">
        <v>2</v>
      </c>
      <c r="E25" s="3" t="s">
        <v>21</v>
      </c>
      <c r="F25">
        <v>2</v>
      </c>
      <c r="H25" t="str">
        <f t="shared" si="0"/>
        <v>Ja*****************</v>
      </c>
      <c r="I25">
        <v>2</v>
      </c>
    </row>
    <row r="26" spans="1:9" x14ac:dyDescent="0.25">
      <c r="A26" s="3" t="s">
        <v>21</v>
      </c>
      <c r="B26">
        <v>2</v>
      </c>
      <c r="E26" s="3" t="s">
        <v>63</v>
      </c>
      <c r="F26">
        <v>1</v>
      </c>
      <c r="H26" t="str">
        <f t="shared" si="0"/>
        <v>Je************</v>
      </c>
      <c r="I26">
        <v>1</v>
      </c>
    </row>
    <row r="27" spans="1:9" x14ac:dyDescent="0.25">
      <c r="A27" s="3" t="s">
        <v>63</v>
      </c>
      <c r="B27">
        <v>1</v>
      </c>
      <c r="E27" s="3" t="s">
        <v>22</v>
      </c>
      <c r="F27">
        <v>2</v>
      </c>
      <c r="H27" t="str">
        <f t="shared" si="0"/>
        <v>Je*********</v>
      </c>
      <c r="I27">
        <v>2</v>
      </c>
    </row>
    <row r="28" spans="1:9" x14ac:dyDescent="0.25">
      <c r="A28" s="3" t="s">
        <v>22</v>
      </c>
      <c r="B28">
        <v>2</v>
      </c>
      <c r="E28" s="3" t="s">
        <v>70</v>
      </c>
      <c r="F28">
        <v>4</v>
      </c>
      <c r="H28" t="str">
        <f t="shared" si="0"/>
        <v>Je**********</v>
      </c>
      <c r="I28">
        <v>4</v>
      </c>
    </row>
    <row r="29" spans="1:9" x14ac:dyDescent="0.25">
      <c r="A29" s="3" t="s">
        <v>70</v>
      </c>
      <c r="B29">
        <v>4</v>
      </c>
      <c r="E29" s="3" t="s">
        <v>76</v>
      </c>
      <c r="F29">
        <v>3</v>
      </c>
      <c r="H29" t="str">
        <f t="shared" si="0"/>
        <v>Ji*********</v>
      </c>
      <c r="I29">
        <v>3</v>
      </c>
    </row>
    <row r="30" spans="1:9" x14ac:dyDescent="0.25">
      <c r="A30" s="3" t="s">
        <v>76</v>
      </c>
      <c r="B30">
        <v>3</v>
      </c>
      <c r="E30" s="3" t="s">
        <v>23</v>
      </c>
      <c r="F30">
        <v>1</v>
      </c>
      <c r="H30" t="str">
        <f t="shared" si="0"/>
        <v>Jo*********</v>
      </c>
      <c r="I30">
        <v>1</v>
      </c>
    </row>
    <row r="31" spans="1:9" x14ac:dyDescent="0.25">
      <c r="A31" s="3" t="s">
        <v>23</v>
      </c>
      <c r="B31">
        <v>1</v>
      </c>
      <c r="E31" s="3" t="s">
        <v>25</v>
      </c>
      <c r="F31">
        <v>4</v>
      </c>
      <c r="H31" t="str">
        <f t="shared" si="0"/>
        <v>Ju*********</v>
      </c>
      <c r="I31">
        <v>4</v>
      </c>
    </row>
    <row r="32" spans="1:9" x14ac:dyDescent="0.25">
      <c r="A32" s="3" t="s">
        <v>25</v>
      </c>
      <c r="B32">
        <v>4</v>
      </c>
      <c r="E32" s="3" t="s">
        <v>28</v>
      </c>
      <c r="F32">
        <v>1</v>
      </c>
      <c r="H32" t="str">
        <f t="shared" si="0"/>
        <v>Li*********</v>
      </c>
      <c r="I32">
        <v>1</v>
      </c>
    </row>
    <row r="33" spans="1:9" x14ac:dyDescent="0.25">
      <c r="A33" s="3" t="s">
        <v>28</v>
      </c>
      <c r="B33">
        <v>1</v>
      </c>
      <c r="E33" s="3" t="s">
        <v>29</v>
      </c>
      <c r="F33">
        <v>1</v>
      </c>
      <c r="H33" t="str">
        <f t="shared" si="0"/>
        <v>Ll*******</v>
      </c>
      <c r="I33">
        <v>1</v>
      </c>
    </row>
    <row r="34" spans="1:9" x14ac:dyDescent="0.25">
      <c r="A34" s="3" t="s">
        <v>29</v>
      </c>
      <c r="B34">
        <v>1</v>
      </c>
      <c r="E34" s="3" t="s">
        <v>30</v>
      </c>
      <c r="F34">
        <v>2</v>
      </c>
      <c r="H34" t="str">
        <f t="shared" si="0"/>
        <v>Lu***************</v>
      </c>
      <c r="I34">
        <v>2</v>
      </c>
    </row>
    <row r="35" spans="1:9" x14ac:dyDescent="0.25">
      <c r="A35" s="3" t="s">
        <v>30</v>
      </c>
      <c r="B35">
        <v>2</v>
      </c>
      <c r="E35" s="3" t="s">
        <v>32</v>
      </c>
      <c r="F35">
        <v>1</v>
      </c>
      <c r="H35" t="str">
        <f t="shared" si="0"/>
        <v>Lu*************</v>
      </c>
      <c r="I35">
        <v>1</v>
      </c>
    </row>
    <row r="36" spans="1:9" x14ac:dyDescent="0.25">
      <c r="A36" s="3" t="s">
        <v>32</v>
      </c>
      <c r="B36">
        <v>1</v>
      </c>
      <c r="E36" s="3" t="s">
        <v>65</v>
      </c>
      <c r="F36">
        <v>2</v>
      </c>
      <c r="H36" t="str">
        <f t="shared" si="0"/>
        <v>Ma**************</v>
      </c>
      <c r="I36">
        <v>2</v>
      </c>
    </row>
    <row r="37" spans="1:9" x14ac:dyDescent="0.25">
      <c r="A37" s="3" t="s">
        <v>65</v>
      </c>
      <c r="B37">
        <v>2</v>
      </c>
      <c r="E37" s="3" t="s">
        <v>64</v>
      </c>
      <c r="F37">
        <v>1</v>
      </c>
      <c r="H37" t="str">
        <f t="shared" si="0"/>
        <v>ME***************************</v>
      </c>
      <c r="I37">
        <v>1</v>
      </c>
    </row>
    <row r="38" spans="1:9" x14ac:dyDescent="0.25">
      <c r="A38" s="3" t="s">
        <v>64</v>
      </c>
      <c r="B38">
        <v>1</v>
      </c>
      <c r="E38" s="3" t="s">
        <v>34</v>
      </c>
      <c r="F38">
        <v>3</v>
      </c>
      <c r="H38" t="str">
        <f t="shared" si="0"/>
        <v>Ni**************</v>
      </c>
      <c r="I38">
        <v>3</v>
      </c>
    </row>
    <row r="39" spans="1:9" x14ac:dyDescent="0.25">
      <c r="A39" s="3" t="s">
        <v>34</v>
      </c>
      <c r="B39">
        <v>3</v>
      </c>
      <c r="E39" s="3" t="s">
        <v>36</v>
      </c>
      <c r="F39">
        <v>1</v>
      </c>
      <c r="H39" t="str">
        <f t="shared" si="0"/>
        <v>Ph*****************</v>
      </c>
      <c r="I39">
        <v>1</v>
      </c>
    </row>
    <row r="40" spans="1:9" x14ac:dyDescent="0.25">
      <c r="A40" s="3" t="s">
        <v>36</v>
      </c>
      <c r="B40">
        <v>1</v>
      </c>
      <c r="E40" s="3" t="s">
        <v>82</v>
      </c>
      <c r="F40">
        <v>1</v>
      </c>
      <c r="H40" t="str">
        <f t="shared" si="0"/>
        <v>Ra***********</v>
      </c>
      <c r="I40">
        <v>1</v>
      </c>
    </row>
    <row r="41" spans="1:9" x14ac:dyDescent="0.25">
      <c r="A41" s="3" t="s">
        <v>82</v>
      </c>
      <c r="B41">
        <v>1</v>
      </c>
      <c r="E41" s="3" t="s">
        <v>38</v>
      </c>
      <c r="F41">
        <v>1</v>
      </c>
      <c r="H41" t="str">
        <f t="shared" si="0"/>
        <v>Ra******</v>
      </c>
      <c r="I41">
        <v>1</v>
      </c>
    </row>
    <row r="42" spans="1:9" x14ac:dyDescent="0.25">
      <c r="A42" s="3" t="s">
        <v>38</v>
      </c>
      <c r="B42">
        <v>1</v>
      </c>
      <c r="E42" s="3" t="s">
        <v>79</v>
      </c>
      <c r="F42">
        <v>1</v>
      </c>
      <c r="H42" t="str">
        <f t="shared" si="0"/>
        <v>Se***************</v>
      </c>
      <c r="I42">
        <v>1</v>
      </c>
    </row>
    <row r="43" spans="1:9" x14ac:dyDescent="0.25">
      <c r="A43" s="3" t="s">
        <v>79</v>
      </c>
      <c r="B43">
        <v>1</v>
      </c>
      <c r="E43" s="3" t="s">
        <v>35</v>
      </c>
      <c r="F43">
        <v>1</v>
      </c>
      <c r="H43" t="str">
        <f t="shared" si="0"/>
        <v>Sh********************</v>
      </c>
      <c r="I43">
        <v>1</v>
      </c>
    </row>
    <row r="44" spans="1:9" x14ac:dyDescent="0.25">
      <c r="A44" s="3" t="s">
        <v>35</v>
      </c>
      <c r="B44">
        <v>1</v>
      </c>
      <c r="E44" s="3" t="s">
        <v>75</v>
      </c>
      <c r="F44">
        <v>1</v>
      </c>
      <c r="H44" t="str">
        <f t="shared" si="0"/>
        <v>So********</v>
      </c>
      <c r="I44">
        <v>1</v>
      </c>
    </row>
    <row r="45" spans="1:9" x14ac:dyDescent="0.25">
      <c r="A45" s="3" t="s">
        <v>75</v>
      </c>
      <c r="B45">
        <v>1</v>
      </c>
      <c r="E45" s="3" t="s">
        <v>54</v>
      </c>
      <c r="F45">
        <v>2</v>
      </c>
      <c r="H45" t="str">
        <f t="shared" si="0"/>
        <v>Su********</v>
      </c>
      <c r="I45">
        <v>2</v>
      </c>
    </row>
    <row r="46" spans="1:9" x14ac:dyDescent="0.25">
      <c r="A46" s="3" t="s">
        <v>54</v>
      </c>
      <c r="B46">
        <v>2</v>
      </c>
      <c r="E46" s="3" t="s">
        <v>68</v>
      </c>
      <c r="F46">
        <v>2</v>
      </c>
      <c r="H46" t="str">
        <f t="shared" si="0"/>
        <v>Su*********</v>
      </c>
      <c r="I46">
        <v>2</v>
      </c>
    </row>
    <row r="47" spans="1:9" x14ac:dyDescent="0.25">
      <c r="A47" s="3" t="s">
        <v>68</v>
      </c>
      <c r="B47">
        <v>2</v>
      </c>
      <c r="E47" s="3" t="s">
        <v>81</v>
      </c>
      <c r="F47">
        <v>3</v>
      </c>
      <c r="H47" t="str">
        <f t="shared" si="0"/>
        <v>Th******************</v>
      </c>
      <c r="I47">
        <v>3</v>
      </c>
    </row>
    <row r="48" spans="1:9" x14ac:dyDescent="0.25">
      <c r="A48" s="3" t="s">
        <v>81</v>
      </c>
      <c r="B48">
        <v>3</v>
      </c>
      <c r="E48" s="3" t="s">
        <v>39</v>
      </c>
      <c r="F48">
        <v>2</v>
      </c>
      <c r="H48" t="str">
        <f t="shared" si="0"/>
        <v>Wi**********</v>
      </c>
      <c r="I48">
        <v>2</v>
      </c>
    </row>
    <row r="49" spans="1:9" x14ac:dyDescent="0.25">
      <c r="A49" s="3" t="s">
        <v>39</v>
      </c>
      <c r="B49">
        <v>2</v>
      </c>
      <c r="E49" s="3" t="s">
        <v>40</v>
      </c>
      <c r="F49">
        <v>2</v>
      </c>
      <c r="H49" t="str">
        <f t="shared" si="0"/>
        <v>Wi*****</v>
      </c>
      <c r="I49">
        <v>2</v>
      </c>
    </row>
    <row r="50" spans="1:9" x14ac:dyDescent="0.25">
      <c r="A50" s="3" t="s">
        <v>40</v>
      </c>
      <c r="B50">
        <v>2</v>
      </c>
      <c r="E50" s="3" t="s">
        <v>27</v>
      </c>
      <c r="F50">
        <v>1</v>
      </c>
      <c r="H50" t="str">
        <f t="shared" si="0"/>
        <v>Xu******************</v>
      </c>
      <c r="I50">
        <v>1</v>
      </c>
    </row>
    <row r="51" spans="1:9" x14ac:dyDescent="0.25">
      <c r="A51" s="3" t="s">
        <v>27</v>
      </c>
      <c r="B51">
        <v>1</v>
      </c>
      <c r="E51" s="3" t="s">
        <v>42</v>
      </c>
      <c r="F51">
        <v>1</v>
      </c>
      <c r="H51" t="str">
        <f t="shared" si="0"/>
        <v>Ya******</v>
      </c>
      <c r="I51">
        <v>1</v>
      </c>
    </row>
    <row r="52" spans="1:9" x14ac:dyDescent="0.25">
      <c r="A52" s="3" t="s">
        <v>42</v>
      </c>
      <c r="B52">
        <v>1</v>
      </c>
      <c r="E52" s="4" t="s">
        <v>87</v>
      </c>
      <c r="F52" s="9">
        <v>91</v>
      </c>
      <c r="H52" t="s">
        <v>89</v>
      </c>
      <c r="I52">
        <f>SUM(I4:I51)</f>
        <v>90</v>
      </c>
    </row>
    <row r="53" spans="1:9" x14ac:dyDescent="0.25">
      <c r="A53" s="3" t="s">
        <v>87</v>
      </c>
      <c r="B53">
        <v>91</v>
      </c>
    </row>
  </sheetData>
  <pageMargins left="0.7" right="0.7" top="0.75" bottom="0.75" header="0.3" footer="0.3"/>
  <headerFooter>
    <oddFooter>&amp;L_x000D_&amp;1#&amp;"Aptos"&amp;12&amp;KFF0000 CONFIDENTIAL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75F3-3564-4FA0-9F30-F5F9684994CA}">
  <dimension ref="A1:I55"/>
  <sheetViews>
    <sheetView tabSelected="1" workbookViewId="0">
      <pane ySplit="1" topLeftCell="A11" activePane="bottomLeft" state="frozen"/>
      <selection pane="bottomLeft" activeCell="B31" sqref="B31"/>
    </sheetView>
  </sheetViews>
  <sheetFormatPr defaultRowHeight="15" x14ac:dyDescent="0.25"/>
  <cols>
    <col min="1" max="1" width="44.7109375" customWidth="1"/>
    <col min="2" max="2" width="58.7109375" customWidth="1"/>
    <col min="3" max="3" width="29.5703125" customWidth="1"/>
    <col min="4" max="4" width="24.7109375" customWidth="1"/>
    <col min="5" max="5" width="17.42578125" customWidth="1"/>
    <col min="6" max="7" width="24.28515625" customWidth="1"/>
    <col min="8" max="8" width="31.28515625" bestFit="1" customWidth="1"/>
    <col min="9" max="9" width="18" bestFit="1" customWidth="1"/>
  </cols>
  <sheetData>
    <row r="1" spans="1:9" x14ac:dyDescent="0.25">
      <c r="A1" s="13" t="s">
        <v>92</v>
      </c>
      <c r="B1" s="13" t="s">
        <v>140</v>
      </c>
      <c r="C1" s="14" t="s">
        <v>141</v>
      </c>
      <c r="D1" s="14" t="s">
        <v>142</v>
      </c>
      <c r="E1" s="14" t="s">
        <v>143</v>
      </c>
      <c r="F1" s="14" t="s">
        <v>150</v>
      </c>
      <c r="G1" s="12"/>
      <c r="H1" s="1" t="s">
        <v>90</v>
      </c>
      <c r="I1" s="1" t="s">
        <v>91</v>
      </c>
    </row>
    <row r="2" spans="1:9" x14ac:dyDescent="0.25">
      <c r="A2" s="15" t="s">
        <v>9</v>
      </c>
      <c r="B2" s="15">
        <v>1</v>
      </c>
      <c r="C2" s="15" t="s">
        <v>147</v>
      </c>
      <c r="D2" s="15" t="s">
        <v>146</v>
      </c>
      <c r="E2" s="15" t="s">
        <v>147</v>
      </c>
      <c r="F2" s="15" t="s">
        <v>148</v>
      </c>
      <c r="G2" s="11"/>
      <c r="H2" s="5" t="s">
        <v>93</v>
      </c>
      <c r="I2" s="5">
        <v>3</v>
      </c>
    </row>
    <row r="3" spans="1:9" x14ac:dyDescent="0.25">
      <c r="A3" s="15" t="s">
        <v>12</v>
      </c>
      <c r="B3" s="15">
        <v>1</v>
      </c>
      <c r="C3" s="15" t="s">
        <v>147</v>
      </c>
      <c r="D3" s="15" t="s">
        <v>146</v>
      </c>
      <c r="E3" s="15" t="s">
        <v>147</v>
      </c>
      <c r="F3" s="15" t="s">
        <v>148</v>
      </c>
      <c r="G3" s="11"/>
      <c r="H3" s="5" t="s">
        <v>94</v>
      </c>
      <c r="I3" s="5">
        <v>1</v>
      </c>
    </row>
    <row r="4" spans="1:9" x14ac:dyDescent="0.25">
      <c r="A4" s="15" t="s">
        <v>83</v>
      </c>
      <c r="B4" s="15">
        <v>1</v>
      </c>
      <c r="C4" s="15" t="s">
        <v>147</v>
      </c>
      <c r="D4" s="15" t="s">
        <v>146</v>
      </c>
      <c r="E4" s="15" t="s">
        <v>147</v>
      </c>
      <c r="F4" s="15" t="s">
        <v>148</v>
      </c>
      <c r="G4" s="11"/>
      <c r="H4" s="5" t="s">
        <v>95</v>
      </c>
      <c r="I4" s="5">
        <v>3</v>
      </c>
    </row>
    <row r="5" spans="1:9" x14ac:dyDescent="0.25">
      <c r="A5" s="15" t="s">
        <v>14</v>
      </c>
      <c r="B5" s="15">
        <v>1</v>
      </c>
      <c r="C5" s="15" t="s">
        <v>147</v>
      </c>
      <c r="D5" s="15" t="s">
        <v>146</v>
      </c>
      <c r="E5" s="15" t="s">
        <v>147</v>
      </c>
      <c r="F5" s="15" t="s">
        <v>148</v>
      </c>
      <c r="G5" s="11"/>
      <c r="H5" s="5" t="s">
        <v>96</v>
      </c>
      <c r="I5" s="5">
        <v>1</v>
      </c>
    </row>
    <row r="6" spans="1:9" x14ac:dyDescent="0.25">
      <c r="A6" s="15" t="s">
        <v>15</v>
      </c>
      <c r="B6" s="15">
        <v>1</v>
      </c>
      <c r="C6" s="15" t="s">
        <v>147</v>
      </c>
      <c r="D6" s="15" t="s">
        <v>146</v>
      </c>
      <c r="E6" s="15" t="s">
        <v>147</v>
      </c>
      <c r="F6" s="15" t="s">
        <v>148</v>
      </c>
      <c r="G6" s="11"/>
      <c r="H6" s="5" t="s">
        <v>97</v>
      </c>
      <c r="I6" s="5">
        <v>1</v>
      </c>
    </row>
    <row r="7" spans="1:9" x14ac:dyDescent="0.25">
      <c r="A7" s="15" t="s">
        <v>20</v>
      </c>
      <c r="B7" s="15">
        <v>1</v>
      </c>
      <c r="C7" s="15" t="s">
        <v>147</v>
      </c>
      <c r="D7" s="15" t="s">
        <v>146</v>
      </c>
      <c r="E7" s="15" t="s">
        <v>147</v>
      </c>
      <c r="F7" s="15" t="s">
        <v>148</v>
      </c>
      <c r="G7" s="11"/>
      <c r="H7" s="5" t="s">
        <v>98</v>
      </c>
      <c r="I7" s="5">
        <v>1</v>
      </c>
    </row>
    <row r="8" spans="1:9" x14ac:dyDescent="0.25">
      <c r="A8" s="15" t="s">
        <v>24</v>
      </c>
      <c r="B8" s="15">
        <v>1</v>
      </c>
      <c r="C8" s="15" t="s">
        <v>147</v>
      </c>
      <c r="D8" s="15" t="s">
        <v>146</v>
      </c>
      <c r="E8" s="15" t="s">
        <v>147</v>
      </c>
      <c r="F8" s="15" t="s">
        <v>148</v>
      </c>
      <c r="G8" s="11"/>
      <c r="H8" s="5" t="s">
        <v>98</v>
      </c>
      <c r="I8" s="5">
        <v>1</v>
      </c>
    </row>
    <row r="9" spans="1:9" x14ac:dyDescent="0.25">
      <c r="A9" s="15" t="s">
        <v>26</v>
      </c>
      <c r="B9" s="15">
        <v>1</v>
      </c>
      <c r="C9" s="15" t="s">
        <v>147</v>
      </c>
      <c r="D9" s="15" t="s">
        <v>146</v>
      </c>
      <c r="E9" s="15" t="s">
        <v>147</v>
      </c>
      <c r="F9" s="15" t="s">
        <v>148</v>
      </c>
      <c r="G9" s="11"/>
      <c r="H9" s="5" t="s">
        <v>99</v>
      </c>
      <c r="I9" s="5">
        <v>3</v>
      </c>
    </row>
    <row r="10" spans="1:9" x14ac:dyDescent="0.25">
      <c r="A10" s="15" t="s">
        <v>31</v>
      </c>
      <c r="B10" s="15">
        <v>1</v>
      </c>
      <c r="C10" s="15" t="s">
        <v>147</v>
      </c>
      <c r="D10" s="15" t="s">
        <v>146</v>
      </c>
      <c r="E10" s="15" t="s">
        <v>147</v>
      </c>
      <c r="F10" s="15" t="s">
        <v>148</v>
      </c>
      <c r="G10" s="11"/>
      <c r="H10" s="5" t="s">
        <v>100</v>
      </c>
      <c r="I10" s="5">
        <v>1</v>
      </c>
    </row>
    <row r="11" spans="1:9" x14ac:dyDescent="0.25">
      <c r="A11" s="15" t="s">
        <v>33</v>
      </c>
      <c r="B11" s="15">
        <v>1</v>
      </c>
      <c r="C11" s="15" t="s">
        <v>147</v>
      </c>
      <c r="D11" s="15" t="s">
        <v>146</v>
      </c>
      <c r="E11" s="15" t="s">
        <v>147</v>
      </c>
      <c r="F11" s="15" t="s">
        <v>148</v>
      </c>
      <c r="G11" s="11"/>
      <c r="H11" s="5" t="s">
        <v>101</v>
      </c>
      <c r="I11" s="5">
        <v>5</v>
      </c>
    </row>
    <row r="12" spans="1:9" x14ac:dyDescent="0.25">
      <c r="A12" s="15" t="s">
        <v>37</v>
      </c>
      <c r="B12" s="15">
        <v>1</v>
      </c>
      <c r="C12" s="15" t="s">
        <v>147</v>
      </c>
      <c r="D12" s="15" t="s">
        <v>146</v>
      </c>
      <c r="E12" s="15" t="s">
        <v>147</v>
      </c>
      <c r="F12" s="15" t="s">
        <v>148</v>
      </c>
      <c r="G12" s="11"/>
      <c r="H12" s="5" t="s">
        <v>102</v>
      </c>
      <c r="I12" s="5">
        <v>3</v>
      </c>
    </row>
    <row r="13" spans="1:9" x14ac:dyDescent="0.25">
      <c r="A13" s="15" t="s">
        <v>46</v>
      </c>
      <c r="B13" s="15">
        <v>1</v>
      </c>
      <c r="C13" s="15" t="s">
        <v>147</v>
      </c>
      <c r="D13" s="15" t="s">
        <v>146</v>
      </c>
      <c r="E13" s="15" t="s">
        <v>147</v>
      </c>
      <c r="F13" s="15" t="s">
        <v>148</v>
      </c>
      <c r="G13" s="11"/>
      <c r="H13" s="5" t="s">
        <v>103</v>
      </c>
      <c r="I13" s="5">
        <v>2</v>
      </c>
    </row>
    <row r="14" spans="1:9" x14ac:dyDescent="0.25">
      <c r="A14" s="15" t="s">
        <v>47</v>
      </c>
      <c r="B14" s="15">
        <v>1</v>
      </c>
      <c r="C14" s="15" t="s">
        <v>147</v>
      </c>
      <c r="D14" s="15" t="s">
        <v>146</v>
      </c>
      <c r="E14" s="15" t="s">
        <v>147</v>
      </c>
      <c r="F14" s="15" t="s">
        <v>148</v>
      </c>
      <c r="G14" s="11"/>
      <c r="H14" s="5" t="s">
        <v>104</v>
      </c>
      <c r="I14" s="5">
        <v>2</v>
      </c>
    </row>
    <row r="15" spans="1:9" x14ac:dyDescent="0.25">
      <c r="A15" s="15" t="s">
        <v>51</v>
      </c>
      <c r="B15" s="15">
        <v>1</v>
      </c>
      <c r="C15" s="15" t="s">
        <v>147</v>
      </c>
      <c r="D15" s="15" t="s">
        <v>146</v>
      </c>
      <c r="E15" s="15" t="s">
        <v>147</v>
      </c>
      <c r="F15" s="15" t="s">
        <v>148</v>
      </c>
      <c r="G15" s="11"/>
      <c r="H15" s="5" t="s">
        <v>105</v>
      </c>
      <c r="I15" s="5">
        <v>2</v>
      </c>
    </row>
    <row r="16" spans="1:9" x14ac:dyDescent="0.25">
      <c r="A16" s="15" t="s">
        <v>52</v>
      </c>
      <c r="B16" s="15">
        <v>1</v>
      </c>
      <c r="C16" s="15" t="s">
        <v>147</v>
      </c>
      <c r="D16" s="15" t="s">
        <v>146</v>
      </c>
      <c r="E16" s="15" t="s">
        <v>147</v>
      </c>
      <c r="F16" s="15" t="s">
        <v>148</v>
      </c>
      <c r="G16" s="11"/>
      <c r="H16" s="5" t="s">
        <v>106</v>
      </c>
      <c r="I16" s="5">
        <v>4</v>
      </c>
    </row>
    <row r="17" spans="1:9" x14ac:dyDescent="0.25">
      <c r="A17" s="15" t="s">
        <v>53</v>
      </c>
      <c r="B17" s="15">
        <v>1</v>
      </c>
      <c r="C17" s="15" t="s">
        <v>147</v>
      </c>
      <c r="D17" s="15" t="s">
        <v>146</v>
      </c>
      <c r="E17" s="15" t="s">
        <v>147</v>
      </c>
      <c r="F17" s="15" t="s">
        <v>148</v>
      </c>
      <c r="G17" s="11"/>
      <c r="H17" s="5" t="s">
        <v>107</v>
      </c>
      <c r="I17" s="5">
        <v>1</v>
      </c>
    </row>
    <row r="18" spans="1:9" x14ac:dyDescent="0.25">
      <c r="A18" s="15" t="s">
        <v>55</v>
      </c>
      <c r="B18" s="15">
        <v>1</v>
      </c>
      <c r="C18" s="15" t="s">
        <v>147</v>
      </c>
      <c r="D18" s="15" t="s">
        <v>146</v>
      </c>
      <c r="E18" s="15" t="s">
        <v>147</v>
      </c>
      <c r="F18" s="15" t="s">
        <v>148</v>
      </c>
      <c r="G18" s="11"/>
      <c r="H18" s="5" t="s">
        <v>108</v>
      </c>
      <c r="I18" s="5">
        <v>1</v>
      </c>
    </row>
    <row r="19" spans="1:9" x14ac:dyDescent="0.25">
      <c r="A19" s="15" t="s">
        <v>56</v>
      </c>
      <c r="B19" s="15">
        <v>1</v>
      </c>
      <c r="C19" s="15" t="s">
        <v>147</v>
      </c>
      <c r="D19" s="15" t="s">
        <v>146</v>
      </c>
      <c r="E19" s="15" t="s">
        <v>147</v>
      </c>
      <c r="F19" s="15" t="s">
        <v>148</v>
      </c>
      <c r="G19" s="11"/>
      <c r="H19" s="5" t="s">
        <v>109</v>
      </c>
      <c r="I19" s="5">
        <v>3</v>
      </c>
    </row>
    <row r="20" spans="1:9" x14ac:dyDescent="0.25">
      <c r="A20" s="15" t="s">
        <v>62</v>
      </c>
      <c r="B20" s="15">
        <v>1</v>
      </c>
      <c r="C20" s="15" t="s">
        <v>147</v>
      </c>
      <c r="D20" s="15" t="s">
        <v>147</v>
      </c>
      <c r="E20" s="15" t="s">
        <v>145</v>
      </c>
      <c r="F20" s="15" t="s">
        <v>148</v>
      </c>
      <c r="G20" s="11"/>
      <c r="H20" s="5" t="s">
        <v>110</v>
      </c>
      <c r="I20" s="5">
        <v>1</v>
      </c>
    </row>
    <row r="21" spans="1:9" x14ac:dyDescent="0.25">
      <c r="A21" s="15" t="s">
        <v>66</v>
      </c>
      <c r="B21" s="15">
        <v>1</v>
      </c>
      <c r="C21" s="15" t="s">
        <v>147</v>
      </c>
      <c r="D21" s="15" t="s">
        <v>146</v>
      </c>
      <c r="E21" s="15" t="s">
        <v>147</v>
      </c>
      <c r="F21" s="15" t="s">
        <v>148</v>
      </c>
      <c r="G21" s="11"/>
      <c r="H21" s="5" t="s">
        <v>111</v>
      </c>
      <c r="I21" s="5">
        <v>2</v>
      </c>
    </row>
    <row r="22" spans="1:9" x14ac:dyDescent="0.25">
      <c r="A22" s="15" t="s">
        <v>67</v>
      </c>
      <c r="B22" s="15">
        <v>1</v>
      </c>
      <c r="C22" s="15" t="s">
        <v>147</v>
      </c>
      <c r="D22" s="15" t="s">
        <v>146</v>
      </c>
      <c r="E22" s="15" t="s">
        <v>147</v>
      </c>
      <c r="F22" s="15" t="s">
        <v>148</v>
      </c>
      <c r="G22" s="11"/>
      <c r="H22" s="5" t="s">
        <v>112</v>
      </c>
      <c r="I22" s="5">
        <v>2</v>
      </c>
    </row>
    <row r="23" spans="1:9" x14ac:dyDescent="0.25">
      <c r="A23" s="17" t="s">
        <v>69</v>
      </c>
      <c r="B23" s="15">
        <v>1</v>
      </c>
      <c r="C23" s="15" t="s">
        <v>147</v>
      </c>
      <c r="D23" s="15" t="s">
        <v>146</v>
      </c>
      <c r="E23" s="15" t="s">
        <v>147</v>
      </c>
      <c r="F23" s="15" t="s">
        <v>148</v>
      </c>
      <c r="G23" s="11"/>
      <c r="H23" s="5" t="s">
        <v>113</v>
      </c>
      <c r="I23" s="5">
        <v>2</v>
      </c>
    </row>
    <row r="24" spans="1:9" x14ac:dyDescent="0.25">
      <c r="A24" s="15" t="s">
        <v>84</v>
      </c>
      <c r="B24" s="15">
        <v>1</v>
      </c>
      <c r="C24" s="15" t="s">
        <v>147</v>
      </c>
      <c r="D24" s="15" t="s">
        <v>146</v>
      </c>
      <c r="E24" s="15" t="s">
        <v>147</v>
      </c>
      <c r="F24" s="15" t="s">
        <v>148</v>
      </c>
      <c r="G24" s="11"/>
      <c r="H24" s="5" t="s">
        <v>114</v>
      </c>
      <c r="I24" s="5">
        <v>1</v>
      </c>
    </row>
    <row r="25" spans="1:9" x14ac:dyDescent="0.25">
      <c r="A25" s="15" t="s">
        <v>71</v>
      </c>
      <c r="B25" s="15">
        <v>1</v>
      </c>
      <c r="C25" s="15" t="s">
        <v>147</v>
      </c>
      <c r="D25" s="15" t="s">
        <v>146</v>
      </c>
      <c r="E25" s="15" t="s">
        <v>147</v>
      </c>
      <c r="F25" s="15" t="s">
        <v>148</v>
      </c>
      <c r="G25" s="11"/>
      <c r="H25" s="5" t="s">
        <v>115</v>
      </c>
      <c r="I25" s="5">
        <v>2</v>
      </c>
    </row>
    <row r="26" spans="1:9" x14ac:dyDescent="0.25">
      <c r="A26" s="15" t="s">
        <v>85</v>
      </c>
      <c r="B26" s="15">
        <v>1</v>
      </c>
      <c r="C26" s="15" t="s">
        <v>147</v>
      </c>
      <c r="D26" s="15" t="s">
        <v>146</v>
      </c>
      <c r="E26" s="15" t="s">
        <v>147</v>
      </c>
      <c r="F26" s="15" t="s">
        <v>148</v>
      </c>
      <c r="G26" s="11"/>
      <c r="H26" s="5" t="s">
        <v>116</v>
      </c>
      <c r="I26" s="5">
        <v>4</v>
      </c>
    </row>
    <row r="27" spans="1:9" x14ac:dyDescent="0.25">
      <c r="A27" s="15" t="s">
        <v>74</v>
      </c>
      <c r="B27" s="15">
        <v>1</v>
      </c>
      <c r="C27" s="15" t="s">
        <v>147</v>
      </c>
      <c r="D27" s="15" t="s">
        <v>146</v>
      </c>
      <c r="E27" s="15" t="s">
        <v>147</v>
      </c>
      <c r="F27" s="15" t="s">
        <v>148</v>
      </c>
      <c r="G27" s="11"/>
      <c r="H27" s="5" t="s">
        <v>117</v>
      </c>
      <c r="I27" s="5">
        <v>3</v>
      </c>
    </row>
    <row r="28" spans="1:9" x14ac:dyDescent="0.25">
      <c r="A28" s="15" t="s">
        <v>77</v>
      </c>
      <c r="B28" s="15">
        <v>1</v>
      </c>
      <c r="C28" s="15" t="s">
        <v>147</v>
      </c>
      <c r="D28" s="15" t="s">
        <v>146</v>
      </c>
      <c r="E28" s="15" t="s">
        <v>147</v>
      </c>
      <c r="F28" s="15" t="s">
        <v>148</v>
      </c>
      <c r="G28" s="11"/>
      <c r="H28" s="5" t="s">
        <v>118</v>
      </c>
      <c r="I28" s="5">
        <v>1</v>
      </c>
    </row>
    <row r="29" spans="1:9" x14ac:dyDescent="0.25">
      <c r="A29" s="15" t="s">
        <v>78</v>
      </c>
      <c r="B29" s="15">
        <v>1</v>
      </c>
      <c r="C29" s="15" t="s">
        <v>147</v>
      </c>
      <c r="D29" s="15" t="s">
        <v>146</v>
      </c>
      <c r="E29" s="15" t="s">
        <v>147</v>
      </c>
      <c r="F29" s="15" t="s">
        <v>148</v>
      </c>
      <c r="G29" s="11"/>
      <c r="H29" s="5" t="s">
        <v>119</v>
      </c>
      <c r="I29" s="5">
        <v>4</v>
      </c>
    </row>
    <row r="30" spans="1:9" x14ac:dyDescent="0.25">
      <c r="A30" s="15" t="s">
        <v>80</v>
      </c>
      <c r="B30" s="15">
        <v>1</v>
      </c>
      <c r="C30" s="15" t="s">
        <v>147</v>
      </c>
      <c r="D30" s="15" t="s">
        <v>146</v>
      </c>
      <c r="E30" s="15" t="s">
        <v>147</v>
      </c>
      <c r="F30" s="15" t="s">
        <v>148</v>
      </c>
      <c r="G30" s="11"/>
      <c r="H30" s="5" t="s">
        <v>120</v>
      </c>
      <c r="I30" s="5">
        <v>1</v>
      </c>
    </row>
    <row r="31" spans="1:9" x14ac:dyDescent="0.25">
      <c r="A31" s="15" t="s">
        <v>2</v>
      </c>
      <c r="B31" s="15">
        <v>2</v>
      </c>
      <c r="C31" s="15" t="s">
        <v>147</v>
      </c>
      <c r="D31" s="15" t="s">
        <v>146</v>
      </c>
      <c r="E31" s="15" t="s">
        <v>147</v>
      </c>
      <c r="F31" s="15" t="s">
        <v>148</v>
      </c>
      <c r="G31" s="11"/>
      <c r="H31" s="5" t="s">
        <v>121</v>
      </c>
      <c r="I31" s="5">
        <v>1</v>
      </c>
    </row>
    <row r="32" spans="1:9" x14ac:dyDescent="0.25">
      <c r="A32" s="15" t="s">
        <v>8</v>
      </c>
      <c r="B32" s="15">
        <v>2</v>
      </c>
      <c r="C32" s="15" t="s">
        <v>147</v>
      </c>
      <c r="D32" s="15" t="s">
        <v>146</v>
      </c>
      <c r="E32" s="15" t="s">
        <v>147</v>
      </c>
      <c r="F32" s="15" t="s">
        <v>148</v>
      </c>
      <c r="G32" s="11"/>
      <c r="H32" s="5" t="s">
        <v>122</v>
      </c>
      <c r="I32" s="5">
        <v>2</v>
      </c>
    </row>
    <row r="33" spans="1:9" x14ac:dyDescent="0.25">
      <c r="A33" s="15" t="s">
        <v>17</v>
      </c>
      <c r="B33" s="15">
        <v>2</v>
      </c>
      <c r="C33" s="15" t="s">
        <v>147</v>
      </c>
      <c r="D33" s="15" t="s">
        <v>146</v>
      </c>
      <c r="E33" s="15" t="s">
        <v>147</v>
      </c>
      <c r="F33" s="15" t="s">
        <v>148</v>
      </c>
      <c r="G33" s="11"/>
      <c r="H33" s="5" t="s">
        <v>123</v>
      </c>
      <c r="I33" s="5">
        <v>1</v>
      </c>
    </row>
    <row r="34" spans="1:9" x14ac:dyDescent="0.25">
      <c r="A34" s="18" t="s">
        <v>149</v>
      </c>
      <c r="B34" s="15">
        <v>2</v>
      </c>
      <c r="C34" s="15" t="s">
        <v>147</v>
      </c>
      <c r="D34" s="15" t="s">
        <v>146</v>
      </c>
      <c r="E34" s="15" t="s">
        <v>147</v>
      </c>
      <c r="F34" s="15" t="s">
        <v>148</v>
      </c>
      <c r="G34" s="11"/>
      <c r="H34" s="5" t="s">
        <v>124</v>
      </c>
      <c r="I34" s="5">
        <v>2</v>
      </c>
    </row>
    <row r="35" spans="1:9" x14ac:dyDescent="0.25">
      <c r="A35" s="18" t="s">
        <v>41</v>
      </c>
      <c r="B35" s="15">
        <v>2</v>
      </c>
      <c r="C35" s="15" t="s">
        <v>147</v>
      </c>
      <c r="D35" s="15" t="s">
        <v>146</v>
      </c>
      <c r="E35" s="15" t="s">
        <v>147</v>
      </c>
      <c r="F35" s="15" t="s">
        <v>148</v>
      </c>
      <c r="G35" s="11"/>
      <c r="H35" s="5" t="s">
        <v>125</v>
      </c>
      <c r="I35" s="5">
        <v>1</v>
      </c>
    </row>
    <row r="36" spans="1:9" x14ac:dyDescent="0.25">
      <c r="A36" s="18" t="s">
        <v>44</v>
      </c>
      <c r="B36" s="15">
        <v>3</v>
      </c>
      <c r="C36" s="15" t="s">
        <v>147</v>
      </c>
      <c r="D36" s="15" t="s">
        <v>146</v>
      </c>
      <c r="E36" s="15" t="s">
        <v>147</v>
      </c>
      <c r="F36" s="15" t="s">
        <v>148</v>
      </c>
      <c r="G36" s="11"/>
      <c r="H36" s="5" t="s">
        <v>126</v>
      </c>
      <c r="I36" s="5">
        <v>3</v>
      </c>
    </row>
    <row r="37" spans="1:9" x14ac:dyDescent="0.25">
      <c r="A37" s="17" t="s">
        <v>1</v>
      </c>
      <c r="B37" s="15">
        <v>4</v>
      </c>
      <c r="C37" s="15" t="s">
        <v>147</v>
      </c>
      <c r="D37" s="15" t="s">
        <v>146</v>
      </c>
      <c r="E37" s="15" t="s">
        <v>147</v>
      </c>
      <c r="F37" s="15" t="s">
        <v>148</v>
      </c>
      <c r="G37" s="11"/>
      <c r="H37" s="5" t="s">
        <v>127</v>
      </c>
      <c r="I37" s="5">
        <v>1</v>
      </c>
    </row>
    <row r="38" spans="1:9" x14ac:dyDescent="0.25">
      <c r="A38" s="17" t="s">
        <v>6</v>
      </c>
      <c r="B38" s="15">
        <v>7</v>
      </c>
      <c r="C38" s="15" t="s">
        <v>147</v>
      </c>
      <c r="D38" s="15" t="s">
        <v>146</v>
      </c>
      <c r="E38" s="15" t="s">
        <v>147</v>
      </c>
      <c r="F38" s="15" t="s">
        <v>148</v>
      </c>
      <c r="G38" s="11"/>
      <c r="H38" s="5" t="s">
        <v>128</v>
      </c>
      <c r="I38" s="5">
        <v>1</v>
      </c>
    </row>
    <row r="39" spans="1:9" x14ac:dyDescent="0.25">
      <c r="A39" s="17" t="s">
        <v>10</v>
      </c>
      <c r="B39" s="15">
        <v>9</v>
      </c>
      <c r="C39" s="15" t="s">
        <v>147</v>
      </c>
      <c r="D39" s="15" t="s">
        <v>146</v>
      </c>
      <c r="E39" s="15" t="s">
        <v>147</v>
      </c>
      <c r="F39" s="15" t="s">
        <v>148</v>
      </c>
      <c r="G39" s="11"/>
      <c r="H39" s="5" t="s">
        <v>129</v>
      </c>
      <c r="I39" s="5">
        <v>1</v>
      </c>
    </row>
    <row r="40" spans="1:9" x14ac:dyDescent="0.25">
      <c r="A40" s="17" t="s">
        <v>144</v>
      </c>
      <c r="B40" s="15">
        <v>16</v>
      </c>
      <c r="C40" s="16" t="s">
        <v>145</v>
      </c>
      <c r="D40" s="15" t="s">
        <v>146</v>
      </c>
      <c r="E40" s="15" t="s">
        <v>147</v>
      </c>
      <c r="F40" s="15" t="s">
        <v>148</v>
      </c>
      <c r="G40" s="11"/>
      <c r="H40" s="5" t="s">
        <v>130</v>
      </c>
      <c r="I40" s="5">
        <v>1</v>
      </c>
    </row>
    <row r="41" spans="1:9" x14ac:dyDescent="0.25">
      <c r="A41" s="10">
        <v>39</v>
      </c>
      <c r="H41" s="5" t="s">
        <v>131</v>
      </c>
      <c r="I41" s="5">
        <v>1</v>
      </c>
    </row>
    <row r="42" spans="1:9" x14ac:dyDescent="0.25">
      <c r="H42" s="5" t="s">
        <v>132</v>
      </c>
      <c r="I42" s="5">
        <v>1</v>
      </c>
    </row>
    <row r="43" spans="1:9" x14ac:dyDescent="0.25">
      <c r="H43" s="5" t="s">
        <v>133</v>
      </c>
      <c r="I43" s="5">
        <v>2</v>
      </c>
    </row>
    <row r="44" spans="1:9" x14ac:dyDescent="0.25">
      <c r="H44" s="5" t="s">
        <v>134</v>
      </c>
      <c r="I44" s="5">
        <v>2</v>
      </c>
    </row>
    <row r="45" spans="1:9" x14ac:dyDescent="0.25">
      <c r="H45" s="5" t="s">
        <v>135</v>
      </c>
      <c r="I45" s="5">
        <v>3</v>
      </c>
    </row>
    <row r="46" spans="1:9" x14ac:dyDescent="0.25">
      <c r="H46" s="5" t="s">
        <v>136</v>
      </c>
      <c r="I46" s="5">
        <v>2</v>
      </c>
    </row>
    <row r="47" spans="1:9" x14ac:dyDescent="0.25">
      <c r="H47" s="5" t="s">
        <v>137</v>
      </c>
      <c r="I47" s="5">
        <v>2</v>
      </c>
    </row>
    <row r="48" spans="1:9" x14ac:dyDescent="0.25">
      <c r="H48" s="5" t="s">
        <v>138</v>
      </c>
      <c r="I48" s="5">
        <v>1</v>
      </c>
    </row>
    <row r="49" spans="8:9" x14ac:dyDescent="0.25">
      <c r="H49" s="5" t="s">
        <v>139</v>
      </c>
      <c r="I49" s="5">
        <v>1</v>
      </c>
    </row>
    <row r="50" spans="8:9" x14ac:dyDescent="0.25">
      <c r="H50" s="6" t="s">
        <v>89</v>
      </c>
      <c r="I50" s="6">
        <v>90</v>
      </c>
    </row>
    <row r="55" spans="8:9" ht="26.25" customHeight="1" x14ac:dyDescent="0.25"/>
  </sheetData>
  <sortState xmlns:xlrd2="http://schemas.microsoft.com/office/spreadsheetml/2017/richdata2" ref="A2:F41">
    <sortCondition ref="B1:B41"/>
  </sortState>
  <conditionalFormatting sqref="A41">
    <cfRule type="duplicateValues" dxfId="0" priority="3"/>
  </conditionalFormatting>
  <pageMargins left="0.7" right="0.7" top="0.75" bottom="0.75" header="0.3" footer="0.3"/>
  <headerFooter>
    <oddFooter>&amp;L_x000D_&amp;1#&amp;"Aptos"&amp;12&amp;KFF0000 CONFIDENTIAL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Rinold</dc:creator>
  <cp:lastModifiedBy>Kate Zhang</cp:lastModifiedBy>
  <dcterms:created xsi:type="dcterms:W3CDTF">2026-06-17T03:54:49Z</dcterms:created>
  <dcterms:modified xsi:type="dcterms:W3CDTF">2026-06-18T02:28:38Z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26e28e-cee4-4628-ace0-04ca983c70e6_Enabled">
    <vt:lpwstr>true</vt:lpwstr>
  </property>
  <property fmtid="{D5CDD505-2E9C-101B-9397-08002B2CF9AE}" pid="3" name="MSIP_Label_3d26e28e-cee4-4628-ace0-04ca983c70e6_SetDate">
    <vt:lpwstr>2026-06-17T04:17:59Z</vt:lpwstr>
  </property>
  <property fmtid="{D5CDD505-2E9C-101B-9397-08002B2CF9AE}" pid="4" name="MSIP_Label_3d26e28e-cee4-4628-ace0-04ca983c70e6_Method">
    <vt:lpwstr>Privileged</vt:lpwstr>
  </property>
  <property fmtid="{D5CDD505-2E9C-101B-9397-08002B2CF9AE}" pid="5" name="MSIP_Label_3d26e28e-cee4-4628-ace0-04ca983c70e6_Name">
    <vt:lpwstr>Confidential</vt:lpwstr>
  </property>
  <property fmtid="{D5CDD505-2E9C-101B-9397-08002B2CF9AE}" pid="6" name="MSIP_Label_3d26e28e-cee4-4628-ace0-04ca983c70e6_SiteId">
    <vt:lpwstr>6f41eebe-f4f6-41f6-9d01-03d70104f18c</vt:lpwstr>
  </property>
  <property fmtid="{D5CDD505-2E9C-101B-9397-08002B2CF9AE}" pid="7" name="MSIP_Label_3d26e28e-cee4-4628-ace0-04ca983c70e6_ActionId">
    <vt:lpwstr>facae245-1d59-43ac-b28f-f608e0782197</vt:lpwstr>
  </property>
  <property fmtid="{D5CDD505-2E9C-101B-9397-08002B2CF9AE}" pid="8" name="MSIP_Label_3d26e28e-cee4-4628-ace0-04ca983c70e6_ContentBits">
    <vt:lpwstr>2</vt:lpwstr>
  </property>
  <property fmtid="{D5CDD505-2E9C-101B-9397-08002B2CF9AE}" pid="9" name="MSIP_Label_3d26e28e-cee4-4628-ace0-04ca983c70e6_Tag">
    <vt:lpwstr>10, 0, 1, 1</vt:lpwstr>
  </property>
</Properties>
</file>
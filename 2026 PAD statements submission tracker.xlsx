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66925"/>
  <mc:AlternateContent xmlns:mc="http://schemas.openxmlformats.org/markup-compatibility/2006">
    <mc:Choice Requires="x15">
      <x15ac:absPath xmlns:x15ac="http://schemas.microsoft.com/office/spreadsheetml/2010/11/ac" url="https://cigpsa-my.sharepoint.com/personal/kate_zhang_cigp_com/Documents/Desktop/PAD Automation/"/>
    </mc:Choice>
  </mc:AlternateContent>
  <xr:revisionPtr revIDLastSave="7664" documentId="6_{8AE067CB-1B34-4B4E-8DCC-FD96BA211385}" xr6:coauthVersionLast="47" xr6:coauthVersionMax="47" xr10:uidLastSave="{F5B7075D-F466-4F19-B208-E0345CECDE10}"/>
  <bookViews>
    <workbookView xWindow="-120" yWindow="-120" windowWidth="29040" windowHeight="15720" tabRatio="729" activeTab="1" xr2:uid="{D6B58562-8BF8-4E58-90CD-D9AC34519CBC}"/>
  </bookViews>
  <sheets>
    <sheet name="Statement Records" sheetId="1" r:id="rId1"/>
    <sheet name="Monthly Statement Delay" sheetId="2" r:id="rId2"/>
    <sheet name="PAD Submission Dashboard " sheetId="5" r:id="rId3"/>
    <sheet name="PAD Approvals" sheetId="7" state="hidden" r:id="rId4"/>
    <sheet name="PAD Approval Dashboard" sheetId="9" state="hidden" r:id="rId5"/>
    <sheet name="Licensed Vs Non Licensed" sheetId="8" state="hidden" r:id="rId6"/>
  </sheets>
  <definedNames>
    <definedName name="_xlnm._FilterDatabase" localSheetId="5" hidden="1">'Licensed Vs Non Licensed'!$H$2:$J$101</definedName>
    <definedName name="_xlnm._FilterDatabase" localSheetId="1" hidden="1">'Monthly Statement Delay'!$A$4:$R$55</definedName>
    <definedName name="_xlnm._FilterDatabase" localSheetId="4" hidden="1">'PAD Approval Dashboard'!$R$7:$T$36</definedName>
    <definedName name="_xlnm._FilterDatabase" localSheetId="3" hidden="1">'PAD Approvals'!$A$1:$F$244</definedName>
    <definedName name="_xlnm._FilterDatabase" localSheetId="2" hidden="1">'PAD Submission Dashboard '!$B$127:$D$141</definedName>
    <definedName name="_xlnm._FilterDatabase" localSheetId="0" hidden="1">'Statement Records'!$A$1:$Q$96</definedName>
    <definedName name="Slicer_Request_Date">#N/A</definedName>
    <definedName name="Slicer_Requestor">#N/A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2" l="1"/>
  <c r="P56" i="2"/>
  <c r="Q56" i="2"/>
  <c r="O50" i="2"/>
  <c r="P50" i="2"/>
  <c r="Q50" i="2"/>
  <c r="O44" i="2"/>
  <c r="P44" i="2"/>
  <c r="Q44" i="2"/>
  <c r="O31" i="2"/>
  <c r="P31" i="2"/>
  <c r="Q31" i="2"/>
  <c r="O40" i="2"/>
  <c r="P40" i="2"/>
  <c r="Q40" i="2"/>
  <c r="Z18" i="9"/>
  <c r="T36" i="9"/>
  <c r="D13" i="5" l="1"/>
  <c r="O6" i="2" l="1"/>
  <c r="O7" i="2"/>
  <c r="O8" i="2"/>
  <c r="O9" i="2"/>
  <c r="O10" i="2"/>
  <c r="O11" i="2"/>
  <c r="O12" i="2"/>
  <c r="O13" i="2"/>
  <c r="O14" i="2"/>
  <c r="O15" i="2"/>
  <c r="O16" i="2"/>
  <c r="O17" i="2"/>
  <c r="O18" i="2"/>
  <c r="O19" i="2"/>
  <c r="O20" i="2"/>
  <c r="O21" i="2"/>
  <c r="O22" i="2"/>
  <c r="O23" i="2"/>
  <c r="O24" i="2"/>
  <c r="O25" i="2"/>
  <c r="O26" i="2"/>
  <c r="O27" i="2"/>
  <c r="O28" i="2"/>
  <c r="O29" i="2"/>
  <c r="O30" i="2"/>
  <c r="O32" i="2"/>
  <c r="O33" i="2"/>
  <c r="O34" i="2"/>
  <c r="O35" i="2"/>
  <c r="O36" i="2"/>
  <c r="O37" i="2"/>
  <c r="O38" i="2"/>
  <c r="O39" i="2"/>
  <c r="O41" i="2"/>
  <c r="O42" i="2"/>
  <c r="O43" i="2"/>
  <c r="O45" i="2"/>
  <c r="O46" i="2"/>
  <c r="O47" i="2"/>
  <c r="O48" i="2"/>
  <c r="O49" i="2"/>
  <c r="O51" i="2"/>
  <c r="O52" i="2"/>
  <c r="O53" i="2"/>
  <c r="O54" i="2"/>
  <c r="O55" i="2"/>
  <c r="O5" i="2"/>
  <c r="Z55" i="2"/>
  <c r="E14" i="5"/>
  <c r="B14" i="5"/>
  <c r="D12" i="5"/>
  <c r="P7" i="2"/>
  <c r="Q7" i="2"/>
  <c r="E52" i="5"/>
  <c r="E53" i="5"/>
  <c r="E51" i="5"/>
  <c r="E50" i="5"/>
  <c r="E49" i="5"/>
  <c r="D11" i="5" l="1"/>
  <c r="D10" i="5"/>
  <c r="D9" i="5"/>
  <c r="D8" i="5"/>
  <c r="D7" i="5"/>
  <c r="D6" i="5"/>
  <c r="D5" i="5"/>
  <c r="D4" i="5"/>
  <c r="D3" i="5"/>
  <c r="D2" i="5"/>
  <c r="P21" i="2"/>
  <c r="Q21" i="2"/>
  <c r="P49" i="2"/>
  <c r="Q49" i="2"/>
  <c r="P39" i="2"/>
  <c r="Q39" i="2"/>
  <c r="Z50" i="2" l="1"/>
  <c r="P36" i="2" l="1"/>
  <c r="Q36" i="2"/>
  <c r="Z45" i="2" l="1"/>
  <c r="P33" i="2"/>
  <c r="Q33" i="2"/>
  <c r="P51" i="2"/>
  <c r="Q51" i="2"/>
  <c r="P26" i="2"/>
  <c r="Q26" i="2"/>
  <c r="Z40" i="2"/>
  <c r="Z35" i="2" l="1"/>
  <c r="Q16" i="2"/>
  <c r="Q23" i="2"/>
  <c r="Q29" i="2"/>
  <c r="P16" i="2"/>
  <c r="P23" i="2"/>
  <c r="P29" i="2"/>
  <c r="P14" i="2"/>
  <c r="Q14" i="2"/>
  <c r="P27" i="2"/>
  <c r="Q27" i="2"/>
  <c r="P45" i="2"/>
  <c r="Q45" i="2"/>
  <c r="P10" i="2"/>
  <c r="Q10" i="2"/>
  <c r="P32" i="2"/>
  <c r="Q32" i="2"/>
  <c r="P12" i="2"/>
  <c r="Q12" i="2"/>
  <c r="P5" i="2"/>
  <c r="Q5" i="2"/>
  <c r="Q8" i="2" l="1"/>
  <c r="Q9" i="2"/>
  <c r="Q11" i="2"/>
  <c r="Q13" i="2"/>
  <c r="Q15" i="2"/>
  <c r="Q17" i="2"/>
  <c r="Q18" i="2"/>
  <c r="Q19" i="2"/>
  <c r="Q20" i="2"/>
  <c r="Q22" i="2"/>
  <c r="Q25" i="2"/>
  <c r="Q24" i="2"/>
  <c r="Q28" i="2"/>
  <c r="Q30" i="2"/>
  <c r="Q34" i="2"/>
  <c r="Q35" i="2"/>
  <c r="Q37" i="2"/>
  <c r="Q38" i="2"/>
  <c r="Q41" i="2"/>
  <c r="Q42" i="2"/>
  <c r="Q43" i="2"/>
  <c r="Q46" i="2"/>
  <c r="Q47" i="2"/>
  <c r="Q48" i="2"/>
  <c r="Q52" i="2"/>
  <c r="Q53" i="2"/>
  <c r="Q54" i="2"/>
  <c r="Q55" i="2"/>
  <c r="Q6" i="2"/>
  <c r="P8" i="2"/>
  <c r="P9" i="2"/>
  <c r="P11" i="2"/>
  <c r="P13" i="2"/>
  <c r="P15" i="2"/>
  <c r="P17" i="2"/>
  <c r="P18" i="2"/>
  <c r="P19" i="2"/>
  <c r="P20" i="2"/>
  <c r="P22" i="2"/>
  <c r="P25" i="2"/>
  <c r="P24" i="2"/>
  <c r="P28" i="2"/>
  <c r="P30" i="2"/>
  <c r="P34" i="2"/>
  <c r="P35" i="2"/>
  <c r="P37" i="2"/>
  <c r="P38" i="2"/>
  <c r="P41" i="2"/>
  <c r="P42" i="2"/>
  <c r="P43" i="2"/>
  <c r="P46" i="2"/>
  <c r="P47" i="2"/>
  <c r="P48" i="2"/>
  <c r="P52" i="2"/>
  <c r="P53" i="2"/>
  <c r="P54" i="2"/>
  <c r="P55" i="2"/>
  <c r="P6" i="2"/>
  <c r="Z30" i="2"/>
  <c r="Z25" i="2"/>
  <c r="Z20" i="2"/>
  <c r="Z10" i="2"/>
  <c r="Z1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tc={DA360984-A700-44E5-A353-40FE0ABA6BE2}</author>
    <author>tc={6F4FDA79-76FE-441B-8423-FF3A82506EC2}</author>
    <author>tc={105F8209-40D9-4AFD-B3C5-A8FD07470E02}</author>
    <author>tc={D26FDA32-AAAD-4E2C-9B08-8E37F27B7FC8}</author>
    <author>tc={21E961CE-776E-4925-B0E0-4B0357D43B93}</author>
  </authors>
  <commentList>
    <comment ref="J28" authorId="0" shapeId="0" xr:uid="{DA360984-A700-44E5-A353-40FE0ABA6BE2}">
      <text>
        <t>[Threaded comment]
Your version of Excel allows you to read this threaded comment; however, any edits to it will get removed if the file is opened in a newer version of Excel. Learn more: https://go.microsoft.com/fwlink/?linkid=870924
Comment:
    Left the organization</t>
      </text>
    </comment>
    <comment ref="F44" authorId="1" shapeId="0" xr:uid="{6F4FDA79-76FE-441B-8423-FF3A82506EC2}">
      <text>
        <t>[Threaded comment]
Your version of Excel allows you to read this threaded comment; however, any edits to it will get removed if the file is opened in a newer version of Excel. Learn more: https://go.microsoft.com/fwlink/?linkid=870924
Comment:
    Account Closed. No statements will be issued.</t>
      </text>
    </comment>
    <comment ref="I51" authorId="2" shapeId="0" xr:uid="{105F8209-40D9-4AFD-B3C5-A8FD07470E02}">
      <text>
        <t>[Threaded comment]
Your version of Excel allows you to read this threaded comment; however, any edits to it will get removed if the file is opened in a newer version of Excel. Learn more: https://go.microsoft.com/fwlink/?linkid=870924
Comment:
    Left the organization</t>
      </text>
    </comment>
    <comment ref="G57" authorId="3" shapeId="0" xr:uid="{D26FDA32-AAAD-4E2C-9B08-8E37F27B7FC8}">
      <text>
        <t>[Threaded comment]
Your version of Excel allows you to read this threaded comment; however, any edits to it will get removed if the file is opened in a newer version of Excel. Learn more: https://go.microsoft.com/fwlink/?linkid=870924
Comment:
    Left the organization</t>
      </text>
    </comment>
    <comment ref="H70" authorId="4" shapeId="0" xr:uid="{21E961CE-776E-4925-B0E0-4B0357D43B93}">
      <text>
        <t xml:space="preserve">[Threaded comment]
Your version of Excel allows you to read this threaded comment; however, any edits to it will get removed if the file is opened in a newer version of Excel. Learn more: https://go.microsoft.com/fwlink/?linkid=870924
Comment:
    Left the organization
</t>
      </text>
    </comment>
  </commentList>
</comments>
</file>

<file path=xl/sharedStrings.xml><?xml version="1.0" encoding="utf-8"?>
<sst xmlns="http://schemas.openxmlformats.org/spreadsheetml/2006/main" count="2424" uniqueCount="547">
  <si>
    <t>Staff Names as per CIGP</t>
  </si>
  <si>
    <t>Staff Names as per Statements</t>
  </si>
  <si>
    <t>Broker</t>
  </si>
  <si>
    <t>A/C Number</t>
  </si>
  <si>
    <t>Jan</t>
  </si>
  <si>
    <t>Feb</t>
  </si>
  <si>
    <t>Mar</t>
  </si>
  <si>
    <t>Apr</t>
  </si>
  <si>
    <t>May</t>
  </si>
  <si>
    <t>Jun</t>
  </si>
  <si>
    <t>Jul</t>
  </si>
  <si>
    <t>Aug</t>
  </si>
  <si>
    <t>Sep</t>
  </si>
  <si>
    <t>Oct</t>
  </si>
  <si>
    <t>Nov</t>
  </si>
  <si>
    <t>Dec</t>
  </si>
  <si>
    <t>Remarks</t>
  </si>
  <si>
    <t>Alberto Pasini</t>
  </si>
  <si>
    <t>Pasini Alberto</t>
  </si>
  <si>
    <t xml:space="preserve">Interactive Brokers </t>
  </si>
  <si>
    <t>U8101130</t>
  </si>
  <si>
    <t>Y</t>
  </si>
  <si>
    <t>Vontobel</t>
  </si>
  <si>
    <t>CIGP</t>
  </si>
  <si>
    <t>I-HCA-EX-485-22-RF</t>
  </si>
  <si>
    <t>Antonio Miguel Velasco</t>
  </si>
  <si>
    <t>Velasco Antonio Miguel Lao</t>
  </si>
  <si>
    <t>U10879983</t>
  </si>
  <si>
    <t>Alwyn Show</t>
  </si>
  <si>
    <t>Show Chung Hin</t>
  </si>
  <si>
    <t>U6554315</t>
  </si>
  <si>
    <t>Bella Yao</t>
  </si>
  <si>
    <t>Yao Mengqian</t>
  </si>
  <si>
    <t>Futu</t>
  </si>
  <si>
    <t>1001238663152827</t>
  </si>
  <si>
    <t>Oct — Consolidated statement with the a/c no. 1001238663152827, has been issued.</t>
  </si>
  <si>
    <t>Dee Ng</t>
  </si>
  <si>
    <t>Ng Si Yeuk Dee</t>
  </si>
  <si>
    <t>Citi</t>
  </si>
  <si>
    <t>Hang Seng</t>
  </si>
  <si>
    <t>782001085888</t>
  </si>
  <si>
    <t>HSBC</t>
  </si>
  <si>
    <t>404-493017-380</t>
  </si>
  <si>
    <t>N/A</t>
  </si>
  <si>
    <t>Echoe Fung</t>
  </si>
  <si>
    <t>Fung Yim Kuen</t>
  </si>
  <si>
    <t>Chief</t>
  </si>
  <si>
    <t>P28077</t>
  </si>
  <si>
    <t>MQ28077</t>
  </si>
  <si>
    <t>Guillermo Muros</t>
  </si>
  <si>
    <t>Muros Guillaume</t>
  </si>
  <si>
    <t>Fortuneo / Compte-titres</t>
  </si>
  <si>
    <t>017270209616</t>
  </si>
  <si>
    <t>No Statements since the account is dormant since Aug 2022</t>
  </si>
  <si>
    <t>Fortuneo / PEA</t>
  </si>
  <si>
    <t>8/20/2024:
PEA account with Fortuneo (n°017270209616); dormant since August 2022 (i.e. everything has been sitting in cash since then, hence no monthly statement)</t>
  </si>
  <si>
    <t>Revolut</t>
  </si>
  <si>
    <t>Saxo Bank</t>
  </si>
  <si>
    <t>Guillaume Page</t>
  </si>
  <si>
    <t>Page Guillaume Boris</t>
  </si>
  <si>
    <t>U3223268</t>
  </si>
  <si>
    <t>UBS</t>
  </si>
  <si>
    <t>Hugues de Saint Seine</t>
  </si>
  <si>
    <t>Le Gouz De Saint Seine Hugues C. B.</t>
  </si>
  <si>
    <t>S-HCA-EX-401-21-HD</t>
  </si>
  <si>
    <t>2-S-HCA-EX-401-21-HD</t>
  </si>
  <si>
    <t>3-S-HCA-EX-401-21-HD</t>
  </si>
  <si>
    <t>Jasdeep Sethi</t>
  </si>
  <si>
    <t>Sethi Jasdeep Singh</t>
  </si>
  <si>
    <t>Christfund</t>
  </si>
  <si>
    <t>PY0612</t>
  </si>
  <si>
    <t>622183457888</t>
  </si>
  <si>
    <t>The statements will be Auto-send and its in Hard copy</t>
  </si>
  <si>
    <t>Jaya Ramesh Chaliki</t>
  </si>
  <si>
    <t>Chaliki Jaya Ramesh</t>
  </si>
  <si>
    <t>U19638060</t>
  </si>
  <si>
    <t>469665889380</t>
  </si>
  <si>
    <t>Jess Cheung</t>
  </si>
  <si>
    <t>Cheung Sin</t>
  </si>
  <si>
    <t>SCB</t>
  </si>
  <si>
    <t>Oct 15: As per the email from Jess, the account is dormant and hence, no statement will be provided from Oct. 2024</t>
  </si>
  <si>
    <t>1001203176279238</t>
  </si>
  <si>
    <t>John Rinold</t>
  </si>
  <si>
    <t>Angel Broking</t>
  </si>
  <si>
    <t>ROHH1072</t>
  </si>
  <si>
    <t>Julius Chau</t>
  </si>
  <si>
    <t>Chau Julius Chun Yu</t>
  </si>
  <si>
    <t>U6382023</t>
  </si>
  <si>
    <t>Sofi</t>
  </si>
  <si>
    <t>7553D273-53DE8ECA</t>
  </si>
  <si>
    <t>7553D273-4245FC2E</t>
  </si>
  <si>
    <t>7553D273-57FE07659</t>
  </si>
  <si>
    <t>Xuan-Lam Nguyen Tang</t>
  </si>
  <si>
    <t>Nguyen Tang Xuan Lam</t>
  </si>
  <si>
    <t>Lisa Cheung</t>
  </si>
  <si>
    <t>Cheung Lisa</t>
  </si>
  <si>
    <t>Interactive Brokers</t>
  </si>
  <si>
    <t>U5052682</t>
  </si>
  <si>
    <t>Lluvia Wu</t>
  </si>
  <si>
    <t>Wu Xiangyu</t>
  </si>
  <si>
    <t>1001219660767188</t>
  </si>
  <si>
    <t>Luca Gentzbourger</t>
  </si>
  <si>
    <t>Gentzbourger Luca John</t>
  </si>
  <si>
    <t>RHF</t>
  </si>
  <si>
    <t xml:space="preserve">TD Ameritrade / Charles Schwab </t>
  </si>
  <si>
    <t>Luciano Tattoni</t>
  </si>
  <si>
    <t>Tattoni Luciano Stefano</t>
  </si>
  <si>
    <t>BPDG</t>
  </si>
  <si>
    <t>Agreed no need to chase for Partner's monthly statements and trade confirmation</t>
  </si>
  <si>
    <t>Nicolas Staerkle</t>
  </si>
  <si>
    <t>Staerkle Nicolas</t>
  </si>
  <si>
    <t>Shirin Staerkle (Wife)</t>
  </si>
  <si>
    <t>Staerkle Shirin</t>
  </si>
  <si>
    <t>Philippe Herminjard</t>
  </si>
  <si>
    <t>Herminjard Philippe Alexandre</t>
  </si>
  <si>
    <t>Credit Suisse AG Switzerland</t>
  </si>
  <si>
    <t>S 960477-45</t>
  </si>
  <si>
    <t>Stephanie Herminjard (Wife)</t>
  </si>
  <si>
    <t>Herminjard Stephanie</t>
  </si>
  <si>
    <t>HSBC HK</t>
  </si>
  <si>
    <t>571-196724-380</t>
  </si>
  <si>
    <t>Rain Lin</t>
  </si>
  <si>
    <t>Lin Shao yu</t>
  </si>
  <si>
    <t>1001251235058392</t>
  </si>
  <si>
    <t>William Chan</t>
  </si>
  <si>
    <t>Chan Kam Wa</t>
  </si>
  <si>
    <t>Wing Or</t>
  </si>
  <si>
    <t>Or Wing</t>
  </si>
  <si>
    <t>Bank of China</t>
  </si>
  <si>
    <t>01266663182241</t>
  </si>
  <si>
    <t>U11196187</t>
  </si>
  <si>
    <t>Yao Wang</t>
  </si>
  <si>
    <t>Wang Yao</t>
  </si>
  <si>
    <t>405240219380</t>
  </si>
  <si>
    <t>Zenobia Lo</t>
  </si>
  <si>
    <t>Lo Lei Yee</t>
  </si>
  <si>
    <t>39CCB5C7-B956FACF</t>
  </si>
  <si>
    <t>Jackie Yam</t>
  </si>
  <si>
    <t>Yam Oi Man Jacqueline</t>
  </si>
  <si>
    <t>Standard Chartered Bank (Hong Kong) Limited</t>
  </si>
  <si>
    <t>005141500</t>
  </si>
  <si>
    <t>Alexandre Pol</t>
  </si>
  <si>
    <t>POL ALEXANDRE</t>
  </si>
  <si>
    <t>Credit Agricole Paris - France</t>
  </si>
  <si>
    <t>09816131601</t>
  </si>
  <si>
    <t>813-079530-380</t>
  </si>
  <si>
    <t>Equate Plus</t>
  </si>
  <si>
    <t>201724134</t>
  </si>
  <si>
    <t>Anja Lee Pol-Soerensen</t>
  </si>
  <si>
    <t>POL-SOERENSEN ANJA LEE</t>
  </si>
  <si>
    <t>U12083781</t>
  </si>
  <si>
    <t>Connie Jiang</t>
  </si>
  <si>
    <t>100-839331-380</t>
  </si>
  <si>
    <t>Darcy Xiao</t>
  </si>
  <si>
    <t>XIAO LIN XIN</t>
  </si>
  <si>
    <t>1001 2961 8625 3373</t>
  </si>
  <si>
    <t>1001 2986 8016 0976</t>
  </si>
  <si>
    <t>Moomoo Financial Singapore Pte. Ltd.</t>
  </si>
  <si>
    <t>1008281087505638</t>
  </si>
  <si>
    <t>Huatai Securities</t>
  </si>
  <si>
    <t>666632646561</t>
  </si>
  <si>
    <t>Orient Securities Co., Ltd.</t>
  </si>
  <si>
    <t>Sunny Zhao</t>
  </si>
  <si>
    <t>YU QING ZHAO</t>
  </si>
  <si>
    <t>China Construction Bank</t>
  </si>
  <si>
    <t>6217007200086650000</t>
  </si>
  <si>
    <t>Firstrade</t>
  </si>
  <si>
    <t xml:space="preserve">877-13419-17 </t>
  </si>
  <si>
    <t>Andrew Sasson</t>
  </si>
  <si>
    <t>0243 F8342376 0002</t>
  </si>
  <si>
    <t>Dormant account. Statements received only once in 6 months</t>
  </si>
  <si>
    <t>Ariel Tang</t>
  </si>
  <si>
    <t>Tzu yao Tang</t>
  </si>
  <si>
    <t>012-806-63-22647-7</t>
  </si>
  <si>
    <t>1001203219583633</t>
  </si>
  <si>
    <t>U12833313</t>
  </si>
  <si>
    <t>Halle Son</t>
  </si>
  <si>
    <t>HALLE MEGAN ANG SON</t>
  </si>
  <si>
    <t>Charles Schwab</t>
  </si>
  <si>
    <t>3446-9515</t>
  </si>
  <si>
    <t>Lisa Lee</t>
  </si>
  <si>
    <t>431-080944-380</t>
  </si>
  <si>
    <t>Hailey Zhou</t>
  </si>
  <si>
    <t>Chuhan Zhou</t>
  </si>
  <si>
    <t>Interactive Brokers (IBKR)</t>
  </si>
  <si>
    <t>U13280318</t>
  </si>
  <si>
    <t>Jacob Qi</t>
  </si>
  <si>
    <t>QI JUNXIAN</t>
  </si>
  <si>
    <t>Mainland China Investments</t>
  </si>
  <si>
    <t>Jericho Mesina</t>
  </si>
  <si>
    <t>736-028663-380</t>
  </si>
  <si>
    <t>MESINA JARI SEBASTIAN ESCARIO</t>
  </si>
  <si>
    <t>Brother of Jericho Mesina</t>
  </si>
  <si>
    <t>736-032582-833</t>
  </si>
  <si>
    <t>Matthias Lanzoni</t>
  </si>
  <si>
    <t>Matthias Olivier Lanzoni</t>
  </si>
  <si>
    <t>U19936576</t>
  </si>
  <si>
    <t>Fundsmith</t>
  </si>
  <si>
    <t>No monthly statement, but only biannual ones (January to June and then July to December). Need to follow up every 6 months</t>
  </si>
  <si>
    <t>flatexDEGIRO Bank</t>
  </si>
  <si>
    <t>Degiro I,II,III</t>
  </si>
  <si>
    <t>Suzanne Yau</t>
  </si>
  <si>
    <t>Wai Yin S Yau</t>
  </si>
  <si>
    <t>U9157195</t>
  </si>
  <si>
    <t>Wai Yin Suzanne Yau</t>
  </si>
  <si>
    <t>JPMorgan Asset Management</t>
  </si>
  <si>
    <t>880086841351</t>
  </si>
  <si>
    <t>Jessie Duong</t>
  </si>
  <si>
    <t>JESSIE TRUONG DUONG</t>
  </si>
  <si>
    <t>Canadian Imperial Bank of Commerce - TFSA</t>
  </si>
  <si>
    <t>Statements will be received on 
Approx. every 7th of the next month 
(eg. January 7th, April 7th, July 7th, October 7th )</t>
  </si>
  <si>
    <t>Wealth Simple</t>
  </si>
  <si>
    <t>HK20252304CAD</t>
  </si>
  <si>
    <t>This will be provided every month</t>
  </si>
  <si>
    <t>Canadian Imperial Bank of Commerce - FHSA</t>
  </si>
  <si>
    <t>Canadian Imperial Bank of Commerce - GIC</t>
  </si>
  <si>
    <t>Dowson Zheng</t>
  </si>
  <si>
    <t>Partner of Jessie Duong</t>
  </si>
  <si>
    <t>Toronto-Dominion Bank - TFSA</t>
  </si>
  <si>
    <t>660016376897</t>
  </si>
  <si>
    <t>Toronto-Dominion Bank - FHSA</t>
  </si>
  <si>
    <t>660018358289</t>
  </si>
  <si>
    <t>Alexander Tsikouras</t>
  </si>
  <si>
    <t>LGT Bank</t>
  </si>
  <si>
    <t>2026 — Monthly Statement Delay (Not provided by 10 of following month)</t>
  </si>
  <si>
    <t>Sl. No</t>
  </si>
  <si>
    <t>Particulars</t>
  </si>
  <si>
    <t xml:space="preserve">Month </t>
  </si>
  <si>
    <t>Miscellenous</t>
  </si>
  <si>
    <t>Names</t>
  </si>
  <si>
    <t>1 strike</t>
  </si>
  <si>
    <t>2 strike</t>
  </si>
  <si>
    <t>3 strike</t>
  </si>
  <si>
    <t>Incidents</t>
  </si>
  <si>
    <t>Not Provided (Do not change the status if the document is provided after the due date)</t>
  </si>
  <si>
    <t>No</t>
  </si>
  <si>
    <t>Provided</t>
  </si>
  <si>
    <t>January</t>
  </si>
  <si>
    <t>Months</t>
  </si>
  <si>
    <t>No. of Staff</t>
  </si>
  <si>
    <t>Non-Submission</t>
  </si>
  <si>
    <t>Rate of Non-submission</t>
  </si>
  <si>
    <t>Number of Employees Who Did late submission</t>
  </si>
  <si>
    <t>Andrew Sassoon</t>
  </si>
  <si>
    <t>Total Employees Required to Submit</t>
  </si>
  <si>
    <t>Anja Lee Pol-Soerensen (Alex P wife)</t>
  </si>
  <si>
    <t>Non Submission Rate (%)</t>
  </si>
  <si>
    <t>February</t>
  </si>
  <si>
    <t>Number of Employees Who Did Not Submit/late submission</t>
  </si>
  <si>
    <t>Sept</t>
  </si>
  <si>
    <t>Dowson Zheng (Partner of Jessie Duong)</t>
  </si>
  <si>
    <t>March</t>
  </si>
  <si>
    <t>April</t>
  </si>
  <si>
    <t>Total No. of Required submission</t>
  </si>
  <si>
    <t>Yes</t>
  </si>
  <si>
    <t>June</t>
  </si>
  <si>
    <t>July</t>
  </si>
  <si>
    <t>Mesina Jari Sebastian Escario (Brother of Jericho)</t>
  </si>
  <si>
    <t>August</t>
  </si>
  <si>
    <t>Shirin Staerkle (Wife of NS)</t>
  </si>
  <si>
    <t xml:space="preserve">Sophie Hor </t>
  </si>
  <si>
    <t>Stephanie Herminjard (Wife of PH)</t>
  </si>
  <si>
    <t>September</t>
  </si>
  <si>
    <t>Xuan Lam Nguyen Tang</t>
  </si>
  <si>
    <t>Month</t>
  </si>
  <si>
    <t>Employees Who Did Not Submit</t>
  </si>
  <si>
    <t>Total Employees Required</t>
  </si>
  <si>
    <t xml:space="preserve"> Number of Incidents</t>
  </si>
  <si>
    <t>No of Strikes YTD</t>
  </si>
  <si>
    <t>Strike 1</t>
  </si>
  <si>
    <t>Strike 2</t>
  </si>
  <si>
    <t>Strike 3</t>
  </si>
  <si>
    <t>October</t>
  </si>
  <si>
    <t>November</t>
  </si>
  <si>
    <t>December</t>
  </si>
  <si>
    <t>Month 2024</t>
  </si>
  <si>
    <t>2024 and 2025</t>
  </si>
  <si>
    <t>incident</t>
  </si>
  <si>
    <t>August2</t>
  </si>
  <si>
    <t>September3</t>
  </si>
  <si>
    <t>October4</t>
  </si>
  <si>
    <t>Percentage</t>
  </si>
  <si>
    <t>No of Incident</t>
  </si>
  <si>
    <t>2025</t>
  </si>
  <si>
    <t>Requestor</t>
  </si>
  <si>
    <t>Request Date</t>
  </si>
  <si>
    <t>Type</t>
  </si>
  <si>
    <t>Security</t>
  </si>
  <si>
    <t>Quantity</t>
  </si>
  <si>
    <t>Status</t>
  </si>
  <si>
    <t>Sell</t>
  </si>
  <si>
    <t>Foxconn Interconnect Technology Limited</t>
  </si>
  <si>
    <t>Approved</t>
  </si>
  <si>
    <t>Buy</t>
  </si>
  <si>
    <t>Apple Inc</t>
  </si>
  <si>
    <t>Fit Hon Teng</t>
  </si>
  <si>
    <t>Amazon.com Inc</t>
  </si>
  <si>
    <t>NVIDIA Corp</t>
  </si>
  <si>
    <t>Richtech Robotics Inc.</t>
  </si>
  <si>
    <t>Rejected</t>
  </si>
  <si>
    <t>Nestle SA</t>
  </si>
  <si>
    <t>Grab Holdings Limited</t>
  </si>
  <si>
    <t>Novo Nordisk A/S</t>
  </si>
  <si>
    <t>Richtech Robotics</t>
  </si>
  <si>
    <t>Archer Aviation Inc.</t>
  </si>
  <si>
    <t>US03945R1023</t>
  </si>
  <si>
    <t>Alphabet Inc - Class C</t>
  </si>
  <si>
    <t>Tesla Inc</t>
  </si>
  <si>
    <t>Sea Ltd - ADR</t>
  </si>
  <si>
    <t>Intuitive Surgical INC</t>
  </si>
  <si>
    <t>US0231351067</t>
  </si>
  <si>
    <t>iShares MSCI World CHF Hedged UCITS ETF (Acc)</t>
  </si>
  <si>
    <t>6.4% Metlife 15.12.2036 Subordinated</t>
  </si>
  <si>
    <t>Uber Technologies Inc</t>
  </si>
  <si>
    <t>ServiceNow, Inc.</t>
  </si>
  <si>
    <t>CrowdStrike Holdings Inc -A</t>
  </si>
  <si>
    <t>AIA Group Limited</t>
  </si>
  <si>
    <t>02616</t>
  </si>
  <si>
    <t>QUALCOMM Incorporated</t>
  </si>
  <si>
    <t>Societe Generale SA</t>
  </si>
  <si>
    <t>Society Pass Incorporated</t>
  </si>
  <si>
    <t>Novo Nordisk A/S - ADR</t>
  </si>
  <si>
    <t>Bigbear.ai Holdings</t>
  </si>
  <si>
    <t>Grab Holdings Ltd</t>
  </si>
  <si>
    <t>XTALPI</t>
  </si>
  <si>
    <t>3SBio Inc.</t>
  </si>
  <si>
    <t>KINGBOARD LAMINATES HOLDINGS LIMITED</t>
  </si>
  <si>
    <t>Invesco QQQ Trust ETF - USD</t>
  </si>
  <si>
    <t>Microsoft Corp</t>
  </si>
  <si>
    <t>3SBIo Inc.</t>
  </si>
  <si>
    <t>Hygeia Health</t>
  </si>
  <si>
    <t>JPMorgan Chase &amp; Co_x000D_
NYSE: JPM</t>
  </si>
  <si>
    <t>NIKE INC -CL B</t>
  </si>
  <si>
    <t>Novo nordisk</t>
  </si>
  <si>
    <t>Lululemon Athletica Inc</t>
  </si>
  <si>
    <t>1385.HK</t>
  </si>
  <si>
    <t>Abhijith Aravindan</t>
  </si>
  <si>
    <t>ALPHABET INC-CL A</t>
  </si>
  <si>
    <t>NASDAQ: QQQM</t>
  </si>
  <si>
    <t>JPMorgan Chase &amp; Co NYSE: JPM</t>
  </si>
  <si>
    <t>Hims &amp; Hers Health, Inc</t>
  </si>
  <si>
    <t>Grab Holdings Ltd - Class A</t>
  </si>
  <si>
    <t>Taiwan Semiconductor Manufacturing Co Ltd - ADR</t>
  </si>
  <si>
    <t>Schwab US Dividend Equity ETF</t>
  </si>
  <si>
    <t>Apple</t>
  </si>
  <si>
    <t>American Express Co</t>
  </si>
  <si>
    <t>Berkshire Hathaway Inc - Class B</t>
  </si>
  <si>
    <t>HSBC Global Equity Index Fund (CLASS HC-HKD-ACC)</t>
  </si>
  <si>
    <t>The India Internet ETF</t>
  </si>
  <si>
    <t>HSBC US Equity Index Fund (CLASS HC-HKD-ACC) U50009</t>
  </si>
  <si>
    <t>TRACKER FUND OF HONG KONG</t>
  </si>
  <si>
    <t>INVESCO GOLDEN DRAGON CHINA</t>
  </si>
  <si>
    <t>KRANESHARES MSCI CHINA CLEAN</t>
  </si>
  <si>
    <t>US Global Jets ETF - USD Dist</t>
  </si>
  <si>
    <t>ARK NEXT GENERATION INT ETF</t>
  </si>
  <si>
    <t>Pending Approval</t>
  </si>
  <si>
    <t>Diversified Growth Company SICAV</t>
  </si>
  <si>
    <t>interactive brokers</t>
  </si>
  <si>
    <t>Chow Sang Sang</t>
  </si>
  <si>
    <t>Zijin Mining</t>
  </si>
  <si>
    <t>UnitedHealth Group Incorporated</t>
  </si>
  <si>
    <t>21Shares Sui Staking ETP</t>
  </si>
  <si>
    <t>03968</t>
  </si>
  <si>
    <t>Swatch Group Ltd. Bearer</t>
  </si>
  <si>
    <t>J&amp;T Express-W</t>
  </si>
  <si>
    <t>Xiaomi Corp</t>
  </si>
  <si>
    <t>JD</t>
  </si>
  <si>
    <t>ASML Holding NV - ADR</t>
  </si>
  <si>
    <t>Lens</t>
  </si>
  <si>
    <t>Hygeia Healthcare Holdings</t>
  </si>
  <si>
    <t>Viva Biotech Holdings</t>
  </si>
  <si>
    <t>Lens Technology</t>
  </si>
  <si>
    <t>China Tower Corporation ltd</t>
  </si>
  <si>
    <t>Sunny Optical Technology Group Co Ltd</t>
  </si>
  <si>
    <t>China Ruyi</t>
  </si>
  <si>
    <t>HSBC Holdings plc</t>
  </si>
  <si>
    <t>Ian Tjahjadi</t>
  </si>
  <si>
    <t>Wells Fargo &amp; Company</t>
  </si>
  <si>
    <t>HHH</t>
  </si>
  <si>
    <t>ubs group</t>
  </si>
  <si>
    <t>NWG 3.985 05/13/36</t>
  </si>
  <si>
    <t>US9229083632</t>
  </si>
  <si>
    <t>MicroPort MedBot (Group) Co., Ltd</t>
  </si>
  <si>
    <t>Chifeng Gold</t>
  </si>
  <si>
    <t>Sanergy Group Rights</t>
  </si>
  <si>
    <t>Benjamin Cheng</t>
  </si>
  <si>
    <t>Okta, Inc</t>
  </si>
  <si>
    <t>Globant S.A.</t>
  </si>
  <si>
    <t>The Estee Lauder Companies Inc</t>
  </si>
  <si>
    <t>Salesforce Inc</t>
  </si>
  <si>
    <t>Datadog Inc - Class A</t>
  </si>
  <si>
    <t>Advanced Micro Devices Inc</t>
  </si>
  <si>
    <t>Semiconductor Manufacturing International Corporation</t>
  </si>
  <si>
    <t>BigBear.ai, Inc</t>
  </si>
  <si>
    <t>KINGBOARD LAMINATES HOLDINGS LTD.</t>
  </si>
  <si>
    <t>GANFENGLITHIUM (01772)</t>
  </si>
  <si>
    <t>CHINA TOWER CORP LTD - H</t>
  </si>
  <si>
    <t>Xtalpi</t>
  </si>
  <si>
    <t>Global X HSCEI Components Covered Call Active ETF</t>
  </si>
  <si>
    <t>Nongfu Spring Co., Ltd.</t>
  </si>
  <si>
    <t>Chou Sang Sang</t>
  </si>
  <si>
    <t>Dongfeng Group</t>
  </si>
  <si>
    <t>tsingtao brew</t>
  </si>
  <si>
    <t>SenseTime Group</t>
  </si>
  <si>
    <t>China Film Group Co Ltd</t>
  </si>
  <si>
    <t>Sprott Uranium Miners ETF</t>
  </si>
  <si>
    <t>Covale Swiss Opportunities I CHF</t>
  </si>
  <si>
    <t>Fundsmith SICAV-Fundsmith Equity USD I Acc</t>
  </si>
  <si>
    <t>BGF SWISS SMALL &amp; MIDCAP OPP A2 CHF</t>
  </si>
  <si>
    <t>ie000siwgdj9</t>
  </si>
  <si>
    <t>hsbc holding</t>
  </si>
  <si>
    <t>BGF Swiss Small &amp; MidCap Opp A2 CHF</t>
  </si>
  <si>
    <t>Fundsmith SICAV - Fundsmith Equity Fund - USD</t>
  </si>
  <si>
    <t>Alibaba Health Information Technology Ltd</t>
  </si>
  <si>
    <t>XD INC</t>
  </si>
  <si>
    <t>WuXi AppTec Co</t>
  </si>
  <si>
    <t>Viva Biotech</t>
  </si>
  <si>
    <t>Baidu Inc - Class A</t>
  </si>
  <si>
    <t>Mitsubishi UFJ Financial Group, 6.35% Perp</t>
  </si>
  <si>
    <t>iShares Hang Seng Tech ETF - HKD</t>
  </si>
  <si>
    <t>WUXI APPTEC</t>
  </si>
  <si>
    <t>BABA-W</t>
  </si>
  <si>
    <t>Nathan Gregori</t>
  </si>
  <si>
    <t>Alphabet Inc - Class A</t>
  </si>
  <si>
    <t>Mitsubishi UFJ Financial Group, 5.188% 12sep2036</t>
  </si>
  <si>
    <t>GANFENGLITHIUM</t>
  </si>
  <si>
    <t>UBS 5.01 3/23/37</t>
  </si>
  <si>
    <t>Alibaba Group Holding Ltd - ADR</t>
  </si>
  <si>
    <t>RICHTECH ROBOTICS INC-CL B</t>
  </si>
  <si>
    <t>ANTA SPORTS(02020.HK)'</t>
  </si>
  <si>
    <t>Zijin Gold International</t>
  </si>
  <si>
    <t>Zijin Mining Group</t>
  </si>
  <si>
    <t>Hua Hong Semiconductor Limited</t>
  </si>
  <si>
    <t>2400. HK</t>
  </si>
  <si>
    <t>META US</t>
  </si>
  <si>
    <t>Centrus Energy Corp</t>
  </si>
  <si>
    <t>Goldman Sachs Physical Gold ETF BATS</t>
  </si>
  <si>
    <t>Intel Corp</t>
  </si>
  <si>
    <t>CNE000001337</t>
  </si>
  <si>
    <t>全柴动力</t>
  </si>
  <si>
    <t>Meta Platforms Inc</t>
  </si>
  <si>
    <t>Duolingo</t>
  </si>
  <si>
    <t>Hang Seng Bank Ltd. HKG: 0011</t>
  </si>
  <si>
    <t>rmv</t>
  </si>
  <si>
    <t>iShares Core DAX UCITS ETF (DE) - EUR Acc</t>
  </si>
  <si>
    <t>iShares Hang Seng Tech ETF - USD</t>
  </si>
  <si>
    <t>iShares S&amp;P 500 CHF Hedged UCITS ETF(Acc)</t>
  </si>
  <si>
    <t>iShares HangSeng Tech ETF - USD Acc</t>
  </si>
  <si>
    <t>Exact Sciences Corp</t>
  </si>
  <si>
    <t>PT Barito Pacific Tbk</t>
  </si>
  <si>
    <t>JD.com Inc - Class A</t>
  </si>
  <si>
    <t>Kraken Robotics Inc.</t>
  </si>
  <si>
    <t>iShares Bitcoin Trust</t>
  </si>
  <si>
    <t>Diversified Growth Company SICAV_x000D_
NS Balanced_x000D_
A-CHF-capitalisation</t>
  </si>
  <si>
    <t>Diversified Growth Company SICAV - Swiss Excellence A-CHF-capitalisation</t>
  </si>
  <si>
    <t>Roche Holding AG</t>
  </si>
  <si>
    <t>Netflix Inc</t>
  </si>
  <si>
    <t>Alibaba Group Holding Limited</t>
  </si>
  <si>
    <t>GB00BVYVFW23</t>
  </si>
  <si>
    <t>hexcel corp</t>
  </si>
  <si>
    <t>Grupa Pracuj SA</t>
  </si>
  <si>
    <t>dbs group holdings ltd</t>
  </si>
  <si>
    <t>Row Labels</t>
  </si>
  <si>
    <t>Count of Request Date</t>
  </si>
  <si>
    <t>IT</t>
  </si>
  <si>
    <t>RM</t>
  </si>
  <si>
    <t>EXCO</t>
  </si>
  <si>
    <t>Team</t>
  </si>
  <si>
    <t>No. of Trade</t>
  </si>
  <si>
    <t>OPS</t>
  </si>
  <si>
    <t>PM</t>
  </si>
  <si>
    <t>TRAD</t>
  </si>
  <si>
    <t>RWG</t>
  </si>
  <si>
    <t>L&amp;C</t>
  </si>
  <si>
    <t>RMA</t>
  </si>
  <si>
    <t>BA</t>
  </si>
  <si>
    <t>Grand Total</t>
  </si>
  <si>
    <t>Licensed Staff</t>
  </si>
  <si>
    <t>#</t>
  </si>
  <si>
    <t>Name</t>
  </si>
  <si>
    <t>No of PAD accounts</t>
  </si>
  <si>
    <t>Joseph MORGAN</t>
  </si>
  <si>
    <t>Andrew SASSOON</t>
  </si>
  <si>
    <t>Yao WANG</t>
  </si>
  <si>
    <t xml:space="preserve">Jess CHEUNG </t>
  </si>
  <si>
    <t xml:space="preserve">Antonio Miguel Lao VELASCO </t>
  </si>
  <si>
    <t xml:space="preserve">Luca GENTZBOURGER </t>
  </si>
  <si>
    <t>Nicolas SIONE</t>
  </si>
  <si>
    <t>Guillaume PAGE</t>
  </si>
  <si>
    <t xml:space="preserve">Mikael DE PICCIOTTO </t>
  </si>
  <si>
    <t>Rain LIN</t>
  </si>
  <si>
    <t>Lluvia WU</t>
  </si>
  <si>
    <t xml:space="preserve">Bella YAO </t>
  </si>
  <si>
    <t>Luciano TATTONI</t>
  </si>
  <si>
    <t>Hugues De SAINT SEINE</t>
  </si>
  <si>
    <t>Alberto PASINI</t>
  </si>
  <si>
    <t xml:space="preserve">Xuan-Lam NGUYEN TANG </t>
  </si>
  <si>
    <t>Nicolas STAERKLE</t>
  </si>
  <si>
    <t>Philippe HERMINJARD</t>
  </si>
  <si>
    <t xml:space="preserve">Dee NG </t>
  </si>
  <si>
    <t>Nataliya PUSHKINA</t>
  </si>
  <si>
    <t>Zenobia LO</t>
  </si>
  <si>
    <t xml:space="preserve">Wing OR </t>
  </si>
  <si>
    <t>Stephanie NG</t>
  </si>
  <si>
    <t xml:space="preserve">William CHAN </t>
  </si>
  <si>
    <t>Jessie Chan</t>
  </si>
  <si>
    <t>C1FE1F50-485321E7</t>
  </si>
  <si>
    <t>John R Chinnadorai</t>
  </si>
  <si>
    <t>Winky Ng</t>
  </si>
  <si>
    <t>434989-01</t>
  </si>
  <si>
    <t>841-491590-380</t>
  </si>
  <si>
    <t>Dong Ru</t>
  </si>
  <si>
    <t>1001272708752026</t>
  </si>
  <si>
    <t>736183419833</t>
  </si>
  <si>
    <t>Anson Wen</t>
  </si>
  <si>
    <t>166-698910-380</t>
  </si>
  <si>
    <t>J.P.Morgan</t>
  </si>
  <si>
    <t>982-69813</t>
  </si>
  <si>
    <t>Shenzhen Stock Exchange Account</t>
  </si>
  <si>
    <t>Shanghai Stock Exchange Account</t>
  </si>
  <si>
    <t>A157202699</t>
  </si>
  <si>
    <t>Jacky Weng</t>
  </si>
  <si>
    <t>Webull</t>
  </si>
  <si>
    <t>First Trade</t>
  </si>
  <si>
    <t>9014295514
RR WWW</t>
  </si>
  <si>
    <t>Sofi Securities</t>
  </si>
  <si>
    <t>CAF4F37B-BD6BE9A6</t>
  </si>
  <si>
    <t>Emma Chin</t>
  </si>
  <si>
    <t>SYFE Hk</t>
  </si>
  <si>
    <t>Not Applicable (Account is Inactive, Dormant, POA provided to Broker, No trades, Employee left or new joiner etc)</t>
  </si>
  <si>
    <t>Sophie Hor</t>
  </si>
  <si>
    <t>Sophie Y Hor</t>
  </si>
  <si>
    <t>U10700108</t>
  </si>
  <si>
    <t>Jimmy Harry</t>
  </si>
  <si>
    <t>Sebastien Waefler</t>
  </si>
  <si>
    <t>Swissquote</t>
  </si>
  <si>
    <t>8/22/2024 :
No Statement issued since there was no trade/activity. 
Auto send.</t>
  </si>
  <si>
    <t>Sébastien Wäfler</t>
  </si>
  <si>
    <t>Trading 212</t>
  </si>
  <si>
    <t>Trade Republic</t>
  </si>
  <si>
    <t>Interactive Broker</t>
  </si>
  <si>
    <t>DE87 1207 0070 0120 4372 06</t>
  </si>
  <si>
    <t>U24423605</t>
  </si>
  <si>
    <t>Thibaut De Rocquigny</t>
  </si>
  <si>
    <t>U19851133</t>
  </si>
  <si>
    <t>611539677888</t>
  </si>
  <si>
    <t>Kobe Yip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</si>
</sst>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
    <numFmt numFmtId="166" formatCode="[$-13C09]d\ mmm\ yyyy;@"/>
  </numFmts>
  <fonts count="16" x14ac:knownFonts="1">
    <font>
      <sz val="11"/>
      <color theme="1"/>
      <name val="Calibri"/>
      <family val="2"/>
      <scheme val="minor"/>
    </font>
    <font>
      <sz val="8"/>
      <name val="Calibri"/>
      <family val="2"/>
      <scheme val="minor"/>
    </font>
    <font>
      <sz val="11"/>
      <color rgb="FF006100"/>
      <name val="Calibri"/>
      <family val="2"/>
      <scheme val="minor"/>
    </font>
    <font>
      <sz val="10"/>
      <color theme="1"/>
      <name val="Calibri"/>
      <family val="2"/>
      <scheme val="minor"/>
    </font>
    <font>
      <b/>
      <sz val="10"/>
      <color theme="0"/>
      <name val="ITC Avant Garde Pro Bk"/>
      <family val="2"/>
    </font>
    <font>
      <sz val="10"/>
      <name val="ITC Avant Garde Pro Bk"/>
      <family val="2"/>
    </font>
    <font>
      <sz val="10"/>
      <color theme="1"/>
      <name val="ITC Avant Garde Pro Bk"/>
      <family val="2"/>
    </font>
    <font>
      <sz val="10"/>
      <color rgb="FF006100"/>
      <name val="Calibri"/>
      <family val="2"/>
      <scheme val="minor"/>
    </font>
    <font>
      <sz val="10"/>
      <color rgb="FFFF0000"/>
      <name val="ITC Avant Garde Pro Bk"/>
      <family val="2"/>
    </font>
    <font>
      <b/>
      <sz val="11"/>
      <color theme="1"/>
      <name val="Calibri"/>
      <family val="2"/>
      <scheme val="minor"/>
    </font>
    <font>
      <b/>
      <sz val="11"/>
      <color theme="0"/>
      <name val="Calibri"/>
      <family val="2"/>
      <scheme val="minor"/>
    </font>
    <font>
      <sz val="11"/>
      <color rgb="FF000000"/>
      <name val="Calibri"/>
      <family val="2"/>
    </font>
    <font>
      <b/>
      <sz val="9"/>
      <color rgb="FF000000"/>
      <name val="Calibri"/>
      <family val="2"/>
    </font>
    <font>
      <sz val="10"/>
      <color rgb="FF000000"/>
      <name val="Calibri"/>
      <family val="2"/>
    </font>
    <font>
      <b/>
      <sz val="14"/>
      <color theme="1"/>
      <name val="Calibri"/>
      <family val="2"/>
      <scheme val="minor"/>
    </font>
    <font>
      <sz val="11"/>
      <name val="Calibri"/>
      <family val="2"/>
      <scheme val="minor"/>
    </font>
  </fonts>
  <fills count="16">
    <fill>
      <patternFill patternType="none"/>
    </fill>
    <fill>
      <patternFill patternType="gray125"/>
    </fill>
    <fill>
      <patternFill patternType="solid">
        <fgColor rgb="FFC6EFCE"/>
      </patternFill>
    </fill>
    <fill>
      <patternFill patternType="solid">
        <fgColor rgb="FFCFA35A"/>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1" tint="0.34998626667073579"/>
        <bgColor indexed="64"/>
      </patternFill>
    </fill>
    <fill>
      <patternFill patternType="solid">
        <fgColor theme="1" tint="0.249977111117893"/>
        <bgColor indexed="64"/>
      </patternFill>
    </fill>
    <fill>
      <patternFill patternType="solid">
        <fgColor theme="1" tint="0.1499984740745262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D3D3D3"/>
      </left>
      <right style="thin">
        <color rgb="FFD3D3D3"/>
      </right>
      <top style="thin">
        <color rgb="FFD3D3D3"/>
      </top>
      <bottom style="thin">
        <color rgb="FFD3D3D3"/>
      </bottom>
      <diagonal style="thin">
        <color rgb="FFD3D3D3"/>
      </diagonal>
    </border>
    <border>
      <left/>
      <right/>
      <top/>
      <bottom style="thin">
        <color theme="4" tint="0.39997558519241921"/>
      </bottom>
      <diagonal/>
    </border>
    <border>
      <left/>
      <right/>
      <top style="thin">
        <color theme="4" tint="0.39997558519241921"/>
      </top>
      <bottom/>
      <diagonal/>
    </border>
    <border>
      <left style="thin">
        <color theme="2"/>
      </left>
      <right style="thin">
        <color theme="2"/>
      </right>
      <top style="thin">
        <color theme="2"/>
      </top>
      <bottom style="thin">
        <color theme="2"/>
      </bottom>
      <diagonal/>
    </border>
    <border>
      <left style="thin">
        <color theme="4" tint="0.39997558519241921"/>
      </left>
      <right/>
      <top/>
      <bottom/>
      <diagonal/>
    </border>
    <border>
      <left/>
      <right style="thin">
        <color theme="4" tint="0.39997558519241921"/>
      </right>
      <top/>
      <bottom/>
      <diagonal/>
    </border>
    <border>
      <left/>
      <right/>
      <top style="thin">
        <color indexed="64"/>
      </top>
      <bottom style="thin">
        <color indexed="64"/>
      </bottom>
      <diagonal/>
    </border>
  </borders>
  <cellStyleXfs count="3">
    <xf numFmtId="0" fontId="0" fillId="0" borderId="0"/>
    <xf numFmtId="0" fontId="2" fillId="2" borderId="0" applyNumberFormat="0" applyBorder="0" applyAlignment="0" applyProtection="0"/>
    <xf numFmtId="0" fontId="11" fillId="0" borderId="0"/>
  </cellStyleXfs>
  <cellXfs count="136">
    <xf numFmtId="0" fontId="0" fillId="0" borderId="0" xfId="0"/>
    <xf numFmtId="0" fontId="3" fillId="0" borderId="0" xfId="0" applyFont="1"/>
    <xf numFmtId="0" fontId="4" fillId="3" borderId="0" xfId="0" applyFont="1" applyFill="1" applyAlignment="1">
      <alignment horizontal="center" vertical="center"/>
    </xf>
    <xf numFmtId="0" fontId="5" fillId="0" borderId="1" xfId="0" applyFont="1" applyBorder="1"/>
    <xf numFmtId="0" fontId="6" fillId="0" borderId="1" xfId="0" applyFont="1" applyBorder="1"/>
    <xf numFmtId="0" fontId="6" fillId="0" borderId="1" xfId="0" applyFont="1" applyBorder="1" applyAlignment="1">
      <alignment horizontal="left"/>
    </xf>
    <xf numFmtId="0" fontId="3" fillId="0" borderId="1" xfId="0" applyFont="1" applyBorder="1"/>
    <xf numFmtId="0" fontId="6" fillId="0" borderId="1" xfId="0" quotePrefix="1" applyFont="1" applyBorder="1" applyAlignment="1">
      <alignment horizontal="left"/>
    </xf>
    <xf numFmtId="0" fontId="6" fillId="0" borderId="0" xfId="0" applyFont="1"/>
    <xf numFmtId="16" fontId="3" fillId="0" borderId="0" xfId="0" applyNumberFormat="1" applyFont="1"/>
    <xf numFmtId="164" fontId="3" fillId="0" borderId="0" xfId="0" applyNumberFormat="1" applyFont="1"/>
    <xf numFmtId="0" fontId="8" fillId="0" borderId="1" xfId="0" applyFont="1" applyBorder="1" applyAlignment="1">
      <alignment wrapText="1"/>
    </xf>
    <xf numFmtId="0" fontId="6" fillId="0" borderId="1" xfId="0" applyFont="1" applyBorder="1" applyAlignment="1">
      <alignment wrapText="1"/>
    </xf>
    <xf numFmtId="0" fontId="6" fillId="0" borderId="1" xfId="0" applyFont="1" applyBorder="1" applyAlignment="1">
      <alignment vertical="top" wrapText="1"/>
    </xf>
    <xf numFmtId="49" fontId="6" fillId="0" borderId="1" xfId="0" applyNumberFormat="1" applyFont="1" applyBorder="1" applyAlignment="1">
      <alignment horizontal="left"/>
    </xf>
    <xf numFmtId="49" fontId="6" fillId="0" borderId="1" xfId="0" quotePrefix="1" applyNumberFormat="1" applyFont="1" applyBorder="1" applyAlignment="1">
      <alignment horizontal="left"/>
    </xf>
    <xf numFmtId="0" fontId="0" fillId="0" borderId="1" xfId="0" applyBorder="1" applyAlignment="1">
      <alignment horizontal="center" vertical="center"/>
    </xf>
    <xf numFmtId="0" fontId="0" fillId="0" borderId="1" xfId="0" applyBorder="1"/>
    <xf numFmtId="0" fontId="9" fillId="5" borderId="1" xfId="0" applyFont="1" applyFill="1" applyBorder="1" applyAlignment="1">
      <alignment horizontal="center" vertical="center"/>
    </xf>
    <xf numFmtId="0" fontId="9" fillId="6" borderId="1" xfId="0" applyFont="1" applyFill="1" applyBorder="1" applyAlignment="1">
      <alignment horizontal="center" vertical="center"/>
    </xf>
    <xf numFmtId="0" fontId="6" fillId="0" borderId="1" xfId="0" applyFont="1" applyBorder="1" applyAlignment="1">
      <alignment vertical="center" wrapText="1"/>
    </xf>
    <xf numFmtId="0" fontId="5" fillId="0" borderId="1" xfId="0" applyFont="1" applyBorder="1" applyAlignment="1">
      <alignment vertical="center"/>
    </xf>
    <xf numFmtId="0" fontId="9" fillId="5" borderId="1" xfId="0" applyFont="1" applyFill="1" applyBorder="1" applyAlignment="1">
      <alignment horizontal="center"/>
    </xf>
    <xf numFmtId="2" fontId="9" fillId="0" borderId="1" xfId="0" applyNumberFormat="1" applyFont="1" applyBorder="1"/>
    <xf numFmtId="0" fontId="8" fillId="0" borderId="1" xfId="0" applyFont="1" applyBorder="1"/>
    <xf numFmtId="0" fontId="7" fillId="0" borderId="1" xfId="1" applyFont="1" applyFill="1" applyBorder="1" applyAlignment="1">
      <alignment horizontal="center" vertical="center"/>
    </xf>
    <xf numFmtId="0" fontId="0" fillId="0" borderId="0" xfId="0" applyAlignment="1">
      <alignment wrapText="1"/>
    </xf>
    <xf numFmtId="0" fontId="0" fillId="0" borderId="1" xfId="0" applyBorder="1" applyAlignment="1">
      <alignment horizontal="center"/>
    </xf>
    <xf numFmtId="0" fontId="0" fillId="0" borderId="0" xfId="0" applyAlignment="1">
      <alignment horizontal="center"/>
    </xf>
    <xf numFmtId="0" fontId="9" fillId="0" borderId="0" xfId="0" applyFont="1" applyAlignment="1">
      <alignment horizontal="center"/>
    </xf>
    <xf numFmtId="0" fontId="9" fillId="0" borderId="0" xfId="0" applyFont="1" applyAlignment="1">
      <alignment horizontal="center" vertical="center"/>
    </xf>
    <xf numFmtId="0" fontId="5" fillId="0" borderId="3" xfId="0" applyFont="1" applyBorder="1" applyAlignment="1">
      <alignment horizontal="left" vertical="center"/>
    </xf>
    <xf numFmtId="0" fontId="6" fillId="0" borderId="3" xfId="0" applyFont="1" applyBorder="1" applyAlignment="1">
      <alignment horizontal="left" vertical="center"/>
    </xf>
    <xf numFmtId="0" fontId="5" fillId="0" borderId="3" xfId="0" applyFont="1" applyBorder="1" applyAlignment="1">
      <alignment vertical="center"/>
    </xf>
    <xf numFmtId="0" fontId="6" fillId="0" borderId="3" xfId="0" applyFont="1" applyBorder="1" applyAlignment="1">
      <alignment vertical="center"/>
    </xf>
    <xf numFmtId="0" fontId="4" fillId="3" borderId="0" xfId="0" applyFont="1" applyFill="1" applyAlignment="1">
      <alignment vertical="center"/>
    </xf>
    <xf numFmtId="0" fontId="3" fillId="0" borderId="3" xfId="0" applyFont="1" applyBorder="1"/>
    <xf numFmtId="0" fontId="3" fillId="0" borderId="5" xfId="0" applyFont="1" applyBorder="1"/>
    <xf numFmtId="0" fontId="5" fillId="0" borderId="3" xfId="0" applyFont="1" applyBorder="1"/>
    <xf numFmtId="0" fontId="5" fillId="0" borderId="4" xfId="0" applyFont="1" applyBorder="1"/>
    <xf numFmtId="1" fontId="6" fillId="0" borderId="1" xfId="0" applyNumberFormat="1" applyFont="1" applyBorder="1" applyAlignment="1">
      <alignment horizontal="left"/>
    </xf>
    <xf numFmtId="0" fontId="6" fillId="0" borderId="6" xfId="0" applyFont="1" applyBorder="1"/>
    <xf numFmtId="49" fontId="3" fillId="0" borderId="1" xfId="0" applyNumberFormat="1" applyFont="1" applyBorder="1"/>
    <xf numFmtId="0" fontId="3" fillId="0" borderId="1" xfId="0" applyFont="1" applyBorder="1" applyAlignment="1">
      <alignment horizontal="left" vertical="top"/>
    </xf>
    <xf numFmtId="0" fontId="3" fillId="0" borderId="1" xfId="0" applyFont="1" applyBorder="1" applyAlignment="1">
      <alignment horizontal="left"/>
    </xf>
    <xf numFmtId="165" fontId="0" fillId="0" borderId="0" xfId="0" applyNumberFormat="1"/>
    <xf numFmtId="0" fontId="10" fillId="8" borderId="7" xfId="0" applyFont="1" applyFill="1" applyBorder="1"/>
    <xf numFmtId="0" fontId="10" fillId="8" borderId="8" xfId="0" applyFont="1" applyFill="1" applyBorder="1"/>
    <xf numFmtId="0" fontId="0" fillId="9" borderId="7" xfId="0" applyFill="1" applyBorder="1"/>
    <xf numFmtId="0" fontId="0" fillId="0" borderId="7" xfId="0" applyBorder="1"/>
    <xf numFmtId="165" fontId="0" fillId="9" borderId="8" xfId="0" applyNumberFormat="1" applyFill="1" applyBorder="1"/>
    <xf numFmtId="165" fontId="0" fillId="0" borderId="8" xfId="0" applyNumberFormat="1" applyBorder="1"/>
    <xf numFmtId="0" fontId="0" fillId="9" borderId="9" xfId="0" applyFill="1" applyBorder="1"/>
    <xf numFmtId="0" fontId="0" fillId="0" borderId="9" xfId="0" applyBorder="1"/>
    <xf numFmtId="0" fontId="11" fillId="0" borderId="0" xfId="2"/>
    <xf numFmtId="0" fontId="12" fillId="0" borderId="10" xfId="2" applyFont="1" applyBorder="1" applyAlignment="1">
      <alignment horizontal="left"/>
    </xf>
    <xf numFmtId="0" fontId="13" fillId="0" borderId="10" xfId="2" applyFont="1" applyBorder="1" applyAlignment="1">
      <alignment horizontal="left"/>
    </xf>
    <xf numFmtId="166" fontId="11" fillId="0" borderId="0" xfId="2" applyNumberFormat="1"/>
    <xf numFmtId="0" fontId="14" fillId="0" borderId="0" xfId="0" applyFont="1"/>
    <xf numFmtId="1" fontId="14" fillId="0" borderId="0" xfId="0" applyNumberFormat="1" applyFont="1"/>
    <xf numFmtId="1" fontId="9" fillId="9" borderId="8" xfId="0" applyNumberFormat="1" applyFont="1" applyFill="1" applyBorder="1"/>
    <xf numFmtId="1" fontId="9" fillId="9" borderId="9" xfId="0" applyNumberFormat="1" applyFont="1" applyFill="1" applyBorder="1"/>
    <xf numFmtId="0" fontId="5" fillId="10" borderId="3" xfId="0" applyFont="1" applyFill="1" applyBorder="1" applyAlignment="1">
      <alignment vertical="center"/>
    </xf>
    <xf numFmtId="0" fontId="5" fillId="10" borderId="3" xfId="0" applyFont="1" applyFill="1" applyBorder="1" applyAlignment="1">
      <alignment horizontal="left" vertical="center"/>
    </xf>
    <xf numFmtId="0" fontId="5" fillId="10" borderId="1" xfId="0" applyFont="1" applyFill="1" applyBorder="1" applyAlignment="1">
      <alignment vertical="center"/>
    </xf>
    <xf numFmtId="0" fontId="5" fillId="11" borderId="1" xfId="0" applyFont="1" applyFill="1" applyBorder="1"/>
    <xf numFmtId="0" fontId="5" fillId="10" borderId="1" xfId="0" applyFont="1" applyFill="1" applyBorder="1"/>
    <xf numFmtId="0" fontId="5" fillId="11" borderId="1" xfId="0" applyFont="1" applyFill="1" applyBorder="1" applyAlignment="1">
      <alignment vertical="center"/>
    </xf>
    <xf numFmtId="0" fontId="6" fillId="11" borderId="1" xfId="0" applyFont="1" applyFill="1" applyBorder="1"/>
    <xf numFmtId="0" fontId="6" fillId="10" borderId="1" xfId="0" applyFont="1" applyFill="1" applyBorder="1"/>
    <xf numFmtId="0" fontId="0" fillId="0" borderId="0" xfId="0" pivotButton="1"/>
    <xf numFmtId="0" fontId="0" fillId="0" borderId="0" xfId="0" applyAlignment="1">
      <alignment horizontal="left"/>
    </xf>
    <xf numFmtId="0" fontId="13" fillId="0" borderId="10" xfId="0" applyFont="1" applyBorder="1" applyAlignment="1">
      <alignment horizontal="left"/>
    </xf>
    <xf numFmtId="0" fontId="6" fillId="11" borderId="3" xfId="0" applyFont="1" applyFill="1" applyBorder="1" applyAlignment="1">
      <alignment vertical="center"/>
    </xf>
    <xf numFmtId="0" fontId="6" fillId="11" borderId="4" xfId="0" applyFont="1" applyFill="1" applyBorder="1" applyAlignment="1">
      <alignment vertical="center"/>
    </xf>
    <xf numFmtId="0" fontId="6" fillId="11" borderId="5" xfId="0" applyFont="1" applyFill="1"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15" fillId="0" borderId="13" xfId="0" applyFont="1" applyBorder="1" applyAlignment="1">
      <alignment horizontal="center" vertical="center"/>
    </xf>
    <xf numFmtId="0" fontId="15" fillId="10" borderId="13" xfId="0" applyFont="1" applyFill="1" applyBorder="1" applyAlignment="1">
      <alignment horizontal="center" vertical="center"/>
    </xf>
    <xf numFmtId="0" fontId="0" fillId="12" borderId="0" xfId="0" applyFill="1" applyAlignment="1">
      <alignment horizontal="center"/>
    </xf>
    <xf numFmtId="0" fontId="0" fillId="6" borderId="0" xfId="0" applyFill="1" applyAlignment="1">
      <alignment horizontal="center"/>
    </xf>
    <xf numFmtId="0" fontId="6" fillId="0" borderId="3" xfId="0" applyFont="1" applyBorder="1"/>
    <xf numFmtId="0" fontId="6" fillId="0" borderId="4" xfId="0" applyFont="1" applyBorder="1"/>
    <xf numFmtId="0" fontId="6" fillId="0" borderId="5" xfId="0" applyFont="1" applyBorder="1"/>
    <xf numFmtId="0" fontId="3" fillId="0" borderId="4" xfId="0" applyFont="1" applyBorder="1"/>
    <xf numFmtId="0" fontId="5" fillId="10" borderId="3" xfId="0" applyFont="1" applyFill="1" applyBorder="1"/>
    <xf numFmtId="0" fontId="5" fillId="10" borderId="5" xfId="0" applyFont="1" applyFill="1" applyBorder="1"/>
    <xf numFmtId="0" fontId="5" fillId="0" borderId="4" xfId="0" applyFont="1" applyBorder="1" applyAlignment="1">
      <alignment vertical="center"/>
    </xf>
    <xf numFmtId="0" fontId="5" fillId="0" borderId="5" xfId="0" applyFont="1" applyBorder="1" applyAlignment="1">
      <alignment vertical="center"/>
    </xf>
    <xf numFmtId="0" fontId="6" fillId="0" borderId="4" xfId="0" applyFont="1" applyBorder="1" applyAlignment="1">
      <alignment vertical="center"/>
    </xf>
    <xf numFmtId="0" fontId="6" fillId="0" borderId="5" xfId="0" applyFont="1" applyBorder="1" applyAlignment="1">
      <alignment vertical="center"/>
    </xf>
    <xf numFmtId="0" fontId="5" fillId="10" borderId="5" xfId="0" applyFont="1" applyFill="1" applyBorder="1" applyAlignment="1">
      <alignment vertical="center"/>
    </xf>
    <xf numFmtId="0" fontId="5" fillId="11" borderId="3" xfId="0" applyFont="1" applyFill="1" applyBorder="1" applyAlignment="1">
      <alignment vertical="center"/>
    </xf>
    <xf numFmtId="0" fontId="5" fillId="11" borderId="5" xfId="0" applyFont="1" applyFill="1" applyBorder="1" applyAlignment="1">
      <alignment vertical="center"/>
    </xf>
    <xf numFmtId="0" fontId="0" fillId="10" borderId="0" xfId="0" applyFill="1" applyAlignment="1">
      <alignment horizontal="left"/>
    </xf>
    <xf numFmtId="0" fontId="15" fillId="0" borderId="0" xfId="0" applyFont="1" applyAlignment="1">
      <alignment horizontal="center" vertical="center"/>
    </xf>
    <xf numFmtId="0" fontId="9" fillId="0" borderId="11" xfId="0" applyFont="1" applyBorder="1" applyAlignment="1">
      <alignment horizontal="left"/>
    </xf>
    <xf numFmtId="0" fontId="9" fillId="9" borderId="12" xfId="0" applyFont="1" applyFill="1" applyBorder="1" applyAlignment="1">
      <alignment horizontal="left"/>
    </xf>
    <xf numFmtId="0" fontId="0" fillId="0" borderId="14" xfId="0" applyBorder="1"/>
    <xf numFmtId="0" fontId="0" fillId="0" borderId="15" xfId="0" applyBorder="1"/>
    <xf numFmtId="0" fontId="5" fillId="0" borderId="5" xfId="0" applyFont="1" applyBorder="1"/>
    <xf numFmtId="2" fontId="0" fillId="0" borderId="0" xfId="0" applyNumberFormat="1"/>
    <xf numFmtId="49" fontId="6" fillId="0" borderId="1" xfId="0" applyNumberFormat="1" applyFont="1" applyBorder="1"/>
    <xf numFmtId="0" fontId="7" fillId="13" borderId="1" xfId="1" applyFont="1" applyFill="1" applyBorder="1" applyAlignment="1">
      <alignment horizontal="center" vertical="center"/>
    </xf>
    <xf numFmtId="0" fontId="7" fillId="14" borderId="1" xfId="1" applyFont="1" applyFill="1" applyBorder="1" applyAlignment="1">
      <alignment horizontal="center" vertical="center"/>
    </xf>
    <xf numFmtId="0" fontId="7" fillId="15" borderId="1" xfId="1" applyFont="1" applyFill="1" applyBorder="1" applyAlignment="1">
      <alignment horizontal="center" vertical="center"/>
    </xf>
    <xf numFmtId="1" fontId="3" fillId="0" borderId="1" xfId="0" applyNumberFormat="1" applyFont="1" applyBorder="1" applyAlignment="1">
      <alignment horizontal="left"/>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5" xfId="0" applyFont="1" applyBorder="1" applyAlignment="1">
      <alignment horizontal="left" vertical="center"/>
    </xf>
    <xf numFmtId="0" fontId="6" fillId="0" borderId="3" xfId="0" applyFont="1" applyBorder="1" applyAlignment="1">
      <alignment horizontal="left"/>
    </xf>
    <xf numFmtId="0" fontId="6" fillId="0" borderId="4" xfId="0" applyFont="1" applyBorder="1" applyAlignment="1">
      <alignment horizontal="left"/>
    </xf>
    <xf numFmtId="0" fontId="6" fillId="0" borderId="5" xfId="0" applyFont="1" applyBorder="1" applyAlignment="1">
      <alignment horizontal="left"/>
    </xf>
    <xf numFmtId="0" fontId="5" fillId="0" borderId="1" xfId="0" applyFont="1" applyBorder="1" applyAlignment="1">
      <alignment horizontal="left" vertical="center"/>
    </xf>
    <xf numFmtId="0" fontId="6" fillId="0" borderId="3" xfId="0" applyFont="1" applyBorder="1" applyAlignment="1">
      <alignment horizontal="left" vertical="center"/>
    </xf>
    <xf numFmtId="0" fontId="6" fillId="0" borderId="5" xfId="0" applyFont="1" applyBorder="1" applyAlignment="1">
      <alignment horizontal="left" vertical="center"/>
    </xf>
    <xf numFmtId="0" fontId="6" fillId="0" borderId="3"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xf numFmtId="0" fontId="5" fillId="0" borderId="3" xfId="0" applyFont="1"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6" fillId="0" borderId="1" xfId="0" applyFont="1" applyBorder="1" applyAlignment="1">
      <alignment horizontal="left" vertical="center"/>
    </xf>
    <xf numFmtId="0" fontId="5" fillId="0" borderId="3" xfId="0" applyFont="1" applyBorder="1" applyAlignment="1">
      <alignment horizontal="left"/>
    </xf>
    <xf numFmtId="0" fontId="5" fillId="0" borderId="5" xfId="0" applyFont="1" applyBorder="1" applyAlignment="1">
      <alignment horizontal="left"/>
    </xf>
    <xf numFmtId="0" fontId="3" fillId="0" borderId="3" xfId="0" applyFont="1" applyBorder="1" applyAlignment="1">
      <alignment horizontal="center"/>
    </xf>
    <xf numFmtId="0" fontId="3" fillId="0" borderId="5" xfId="0" applyFont="1" applyBorder="1" applyAlignment="1">
      <alignment horizontal="center"/>
    </xf>
    <xf numFmtId="17" fontId="9" fillId="7" borderId="1" xfId="0" applyNumberFormat="1" applyFont="1" applyFill="1" applyBorder="1" applyAlignment="1">
      <alignment horizontal="center"/>
    </xf>
    <xf numFmtId="0" fontId="9" fillId="4" borderId="1" xfId="0" applyFont="1" applyFill="1" applyBorder="1" applyAlignment="1">
      <alignment horizontal="center"/>
    </xf>
    <xf numFmtId="0" fontId="9" fillId="5" borderId="1" xfId="0" applyFont="1" applyFill="1" applyBorder="1" applyAlignment="1">
      <alignment horizontal="center" vertical="center"/>
    </xf>
    <xf numFmtId="0" fontId="0" fillId="0" borderId="1" xfId="0" applyBorder="1" applyAlignment="1">
      <alignment horizontal="center" vertical="center"/>
    </xf>
    <xf numFmtId="0" fontId="9" fillId="5" borderId="2" xfId="0" applyFont="1" applyFill="1" applyBorder="1" applyAlignment="1">
      <alignment horizontal="left"/>
    </xf>
    <xf numFmtId="0" fontId="9" fillId="5" borderId="16" xfId="0" applyFont="1" applyFill="1" applyBorder="1" applyAlignment="1">
      <alignment horizontal="left"/>
    </xf>
    <xf numFmtId="0" fontId="9" fillId="5" borderId="6" xfId="0" applyFont="1" applyFill="1" applyBorder="1" applyAlignment="1">
      <alignment horizontal="left"/>
    </xf>
    <xf numFmtId="17" fontId="9" fillId="0" borderId="0" xfId="0" applyNumberFormat="1" applyFont="1" applyAlignment="1">
      <alignment horizontal="center"/>
    </xf>
  </cellXfs>
  <cellStyles count="3">
    <cellStyle name="Good" xfId="1" builtinId="26"/>
    <cellStyle name="Normal" xfId="0" builtinId="0"/>
    <cellStyle name="Normal 2" xfId="2" xr:uid="{3E88B08A-64AB-46F6-9801-813C961796A3}"/>
  </cellStyles>
  <dxfs count="39">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alignment horizontal="center"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left/>
        <right style="thin">
          <color theme="4" tint="0.39997558519241921"/>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i val="0"/>
        <strike val="0"/>
        <condense val="0"/>
        <extend val="0"/>
        <outline val="0"/>
        <shadow val="0"/>
        <u val="none"/>
        <vertAlign val="baseline"/>
        <sz val="11"/>
        <color theme="1"/>
        <name val="Calibri"/>
        <family val="2"/>
        <scheme val="minor"/>
      </font>
      <numFmt numFmtId="1"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4"/>
        <color theme="1"/>
        <name val="Calibri"/>
        <family val="2"/>
        <scheme val="minor"/>
      </font>
      <numFmt numFmtId="1" formatCode="0"/>
    </dxf>
    <dxf>
      <font>
        <b/>
        <i val="0"/>
        <strike val="0"/>
        <condense val="0"/>
        <extend val="0"/>
        <outline val="0"/>
        <shadow val="0"/>
        <u val="none"/>
        <vertAlign val="baseline"/>
        <sz val="14"/>
        <color theme="1"/>
        <name val="Calibri"/>
        <family val="2"/>
        <scheme val="minor"/>
      </font>
      <numFmt numFmtId="1" formatCode="0"/>
    </dxf>
    <dxf>
      <font>
        <b/>
        <i val="0"/>
        <strike val="0"/>
        <condense val="0"/>
        <extend val="0"/>
        <outline val="0"/>
        <shadow val="0"/>
        <u val="none"/>
        <vertAlign val="baseline"/>
        <sz val="14"/>
        <color theme="1"/>
        <name val="Calibri"/>
        <family val="2"/>
        <scheme val="minor"/>
      </font>
      <numFmt numFmtId="1" formatCode="0"/>
    </dxf>
    <dxf>
      <font>
        <b/>
        <i val="0"/>
        <strike val="0"/>
        <condense val="0"/>
        <extend val="0"/>
        <outline val="0"/>
        <shadow val="0"/>
        <u val="none"/>
        <vertAlign val="baseline"/>
        <sz val="14"/>
        <color theme="1"/>
        <name val="Calibri"/>
        <family val="2"/>
        <scheme val="minor"/>
      </font>
      <numFmt numFmtId="1" formatCode="0"/>
    </dxf>
    <dxf>
      <font>
        <b/>
        <i val="0"/>
        <strike val="0"/>
        <condense val="0"/>
        <extend val="0"/>
        <outline val="0"/>
        <shadow val="0"/>
        <u val="none"/>
        <vertAlign val="baseline"/>
        <sz val="14"/>
        <color theme="1"/>
        <name val="Calibri"/>
        <family val="2"/>
        <scheme val="minor"/>
      </font>
      <numFmt numFmtId="1" formatCode="0"/>
    </dxf>
    <dxf>
      <font>
        <b/>
        <i val="0"/>
        <strike val="0"/>
        <condense val="0"/>
        <extend val="0"/>
        <outline val="0"/>
        <shadow val="0"/>
        <u val="none"/>
        <vertAlign val="baseline"/>
        <sz val="14"/>
        <color theme="1"/>
        <name val="Calibri"/>
        <family val="2"/>
        <scheme val="minor"/>
      </font>
      <numFmt numFmtId="1" formatCode="0"/>
    </dxf>
    <dxf>
      <font>
        <b/>
        <i val="0"/>
        <strike val="0"/>
        <condense val="0"/>
        <extend val="0"/>
        <outline val="0"/>
        <shadow val="0"/>
        <u val="none"/>
        <vertAlign val="baseline"/>
        <sz val="14"/>
        <color theme="1"/>
        <name val="Calibri"/>
        <family val="2"/>
        <scheme val="minor"/>
      </font>
      <numFmt numFmtId="1" formatCode="0"/>
    </dxf>
    <dxf>
      <font>
        <b/>
        <i val="0"/>
        <strike val="0"/>
        <condense val="0"/>
        <extend val="0"/>
        <outline val="0"/>
        <shadow val="0"/>
        <u val="none"/>
        <vertAlign val="baseline"/>
        <sz val="14"/>
        <color theme="1"/>
        <name val="Calibri"/>
        <family val="2"/>
        <scheme val="minor"/>
      </font>
      <numFmt numFmtId="1" formatCode="0"/>
    </dxf>
    <dxf>
      <font>
        <b/>
        <i val="0"/>
        <strike val="0"/>
        <condense val="0"/>
        <extend val="0"/>
        <outline val="0"/>
        <shadow val="0"/>
        <u val="none"/>
        <vertAlign val="baseline"/>
        <sz val="14"/>
        <color theme="1"/>
        <name val="Calibri"/>
        <family val="2"/>
        <scheme val="minor"/>
      </font>
      <numFmt numFmtId="1" formatCode="0"/>
    </dxf>
    <dxf>
      <font>
        <b/>
        <i val="0"/>
        <strike val="0"/>
        <condense val="0"/>
        <extend val="0"/>
        <outline val="0"/>
        <shadow val="0"/>
        <u val="none"/>
        <vertAlign val="baseline"/>
        <sz val="14"/>
        <color theme="1"/>
        <name val="Calibri"/>
        <family val="2"/>
        <scheme val="minor"/>
      </font>
      <numFmt numFmtId="1" formatCode="0"/>
    </dxf>
    <dxf>
      <font>
        <b/>
        <i val="0"/>
        <strike val="0"/>
        <condense val="0"/>
        <extend val="0"/>
        <outline val="0"/>
        <shadow val="0"/>
        <u val="none"/>
        <vertAlign val="baseline"/>
        <sz val="14"/>
        <color theme="1"/>
        <name val="Calibri"/>
        <family val="2"/>
        <scheme val="minor"/>
      </font>
      <numFmt numFmtId="1" formatCode="0"/>
    </dxf>
    <dxf>
      <font>
        <b/>
        <i val="0"/>
        <strike val="0"/>
        <condense val="0"/>
        <extend val="0"/>
        <outline val="0"/>
        <shadow val="0"/>
        <u val="none"/>
        <vertAlign val="baseline"/>
        <sz val="14"/>
        <color theme="1"/>
        <name val="Calibri"/>
        <family val="2"/>
        <scheme val="minor"/>
      </font>
      <numFmt numFmtId="1" formatCode="0"/>
    </dxf>
    <dxf>
      <font>
        <b/>
        <i val="0"/>
        <strike val="0"/>
        <condense val="0"/>
        <extend val="0"/>
        <outline val="0"/>
        <shadow val="0"/>
        <u val="none"/>
        <vertAlign val="baseline"/>
        <sz val="14"/>
        <color theme="1"/>
        <name val="Calibri"/>
        <family val="2"/>
        <scheme val="minor"/>
      </font>
      <numFmt numFmtId="1" formatCode="0"/>
    </dxf>
    <dxf>
      <font>
        <b/>
        <i val="0"/>
        <strike val="0"/>
        <condense val="0"/>
        <extend val="0"/>
        <outline val="0"/>
        <shadow val="0"/>
        <u val="none"/>
        <vertAlign val="baseline"/>
        <sz val="14"/>
        <color theme="1"/>
        <name val="Calibri"/>
        <family val="2"/>
        <scheme val="minor"/>
      </font>
      <numFmt numFmtId="1" formatCode="0"/>
    </dxf>
    <dxf>
      <font>
        <b/>
        <i val="0"/>
        <strike val="0"/>
        <condense val="0"/>
        <extend val="0"/>
        <outline val="0"/>
        <shadow val="0"/>
        <u val="none"/>
        <vertAlign val="baseline"/>
        <sz val="14"/>
        <color theme="1"/>
        <name val="Calibri"/>
        <family val="2"/>
        <scheme val="minor"/>
      </font>
      <numFmt numFmtId="1" formatCode="0"/>
    </dxf>
    <dxf>
      <font>
        <b/>
        <i val="0"/>
        <strike val="0"/>
        <condense val="0"/>
        <extend val="0"/>
        <outline val="0"/>
        <shadow val="0"/>
        <u val="none"/>
        <vertAlign val="baseline"/>
        <sz val="14"/>
        <color theme="1"/>
        <name val="Calibri"/>
        <family val="2"/>
        <scheme val="minor"/>
      </font>
    </dxf>
    <dxf>
      <font>
        <b/>
        <i val="0"/>
        <strike val="0"/>
        <condense val="0"/>
        <extend val="0"/>
        <outline val="0"/>
        <shadow val="0"/>
        <u val="none"/>
        <vertAlign val="baseline"/>
        <sz val="14"/>
        <color theme="1"/>
        <name val="Calibri"/>
        <family val="2"/>
        <scheme val="minor"/>
      </font>
    </dxf>
    <dxf>
      <numFmt numFmtId="165" formatCode="0.0"/>
    </dxf>
    <dxf>
      <numFmt numFmtId="165" formatCode="0.0"/>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'Monthly Statement Delay'!$AE$7</c:f>
              <c:strCache>
                <c:ptCount val="1"/>
                <c:pt idx="0">
                  <c:v>No. of Staff</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Statement Delay'!$AD$8:$AD$19</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'Monthly Statement Delay'!$AE$8:$AE$19</c:f>
              <c:numCache>
                <c:formatCode>General</c:formatCode>
                <c:ptCount val="12"/>
                <c:pt idx="0">
                  <c:v>47</c:v>
                </c:pt>
                <c:pt idx="1">
                  <c:v>48</c:v>
                </c:pt>
                <c:pt idx="2">
                  <c:v>48</c:v>
                </c:pt>
                <c:pt idx="3">
                  <c:v>47</c:v>
                </c:pt>
              </c:numCache>
            </c:numRef>
          </c:val>
          <c:extLst>
            <c:ext xmlns:c16="http://schemas.microsoft.com/office/drawing/2014/chart" uri="{C3380CC4-5D6E-409C-BE32-E72D297353CC}">
              <c16:uniqueId val="{00000000-2FAF-44B1-AE97-48F869CA45F5}"/>
            </c:ext>
          </c:extLst>
        </c:ser>
        <c:ser>
          <c:idx val="1"/>
          <c:order val="1"/>
          <c:tx>
            <c:strRef>
              <c:f>'Monthly Statement Delay'!$AF$7</c:f>
              <c:strCache>
                <c:ptCount val="1"/>
                <c:pt idx="0">
                  <c:v>Non-Submission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Statement Delay'!$AD$8:$AD$19</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'Monthly Statement Delay'!$AF$8:$AF$19</c:f>
              <c:numCache>
                <c:formatCode>General</c:formatCode>
                <c:ptCount val="12"/>
                <c:pt idx="0">
                  <c:v>1</c:v>
                </c:pt>
                <c:pt idx="1">
                  <c:v>1</c:v>
                </c:pt>
                <c:pt idx="2">
                  <c:v>2</c:v>
                </c:pt>
                <c:pt idx="3">
                  <c:v>7</c:v>
                </c:pt>
              </c:numCache>
            </c:numRef>
          </c:val>
          <c:extLst>
            <c:ext xmlns:c16="http://schemas.microsoft.com/office/drawing/2014/chart" uri="{C3380CC4-5D6E-409C-BE32-E72D297353CC}">
              <c16:uniqueId val="{00000001-2FAF-44B1-AE97-48F869CA45F5}"/>
            </c:ext>
          </c:extLst>
        </c:ser>
        <c:dLbls>
          <c:showLegendKey val="0"/>
          <c:showVal val="1"/>
          <c:showCatName val="0"/>
          <c:showSerName val="0"/>
          <c:showPercent val="0"/>
          <c:showBubbleSize val="0"/>
        </c:dLbls>
        <c:gapWidth val="219"/>
        <c:axId val="2128144239"/>
        <c:axId val="2128134159"/>
      </c:barChart>
      <c:lineChart>
        <c:grouping val="standard"/>
        <c:varyColors val="0"/>
        <c:ser>
          <c:idx val="2"/>
          <c:order val="2"/>
          <c:tx>
            <c:strRef>
              <c:f>'Monthly Statement Delay'!$AG$7</c:f>
              <c:strCache>
                <c:ptCount val="1"/>
                <c:pt idx="0">
                  <c:v>Rate of Non-submission</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Statement Delay'!$AD$8:$AD$19</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'Monthly Statement Delay'!$AG$8:$AG$19</c:f>
              <c:numCache>
                <c:formatCode>0.00</c:formatCode>
                <c:ptCount val="12"/>
                <c:pt idx="0">
                  <c:v>2.13</c:v>
                </c:pt>
                <c:pt idx="1">
                  <c:v>2.08</c:v>
                </c:pt>
                <c:pt idx="2" formatCode="General">
                  <c:v>4.17</c:v>
                </c:pt>
                <c:pt idx="3" formatCode="General">
                  <c:v>14.89</c:v>
                </c:pt>
              </c:numCache>
            </c:numRef>
          </c:val>
          <c:smooth val="0"/>
          <c:extLst>
            <c:ext xmlns:c16="http://schemas.microsoft.com/office/drawing/2014/chart" uri="{C3380CC4-5D6E-409C-BE32-E72D297353CC}">
              <c16:uniqueId val="{00000002-2FAF-44B1-AE97-48F869CA45F5}"/>
            </c:ext>
          </c:extLst>
        </c:ser>
        <c:dLbls>
          <c:showLegendKey val="0"/>
          <c:showVal val="1"/>
          <c:showCatName val="0"/>
          <c:showSerName val="0"/>
          <c:showPercent val="0"/>
          <c:showBubbleSize val="0"/>
        </c:dLbls>
        <c:marker val="1"/>
        <c:smooth val="0"/>
        <c:axId val="2128144239"/>
        <c:axId val="2128134159"/>
      </c:lineChart>
      <c:catAx>
        <c:axId val="212814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134159"/>
        <c:crosses val="autoZero"/>
        <c:auto val="1"/>
        <c:lblAlgn val="ctr"/>
        <c:lblOffset val="100"/>
        <c:noMultiLvlLbl val="0"/>
      </c:catAx>
      <c:valAx>
        <c:axId val="21281341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1442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'PAD Submission Dashboard '!$J$1</c:f>
              <c:strCache>
                <c:ptCount val="1"/>
                <c:pt idx="0">
                  <c:v>No of Strikes YTD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'PAD Submission Dashboard '!$I$2:$I$4</c:f>
              <c:strCache>
                <c:ptCount val="3"/>
                <c:pt idx="0">
                  <c:v>Strike 1</c:v>
                </c:pt>
                <c:pt idx="1">
                  <c:v>Strike 2</c:v>
                </c:pt>
                <c:pt idx="2">
                  <c:v>Strike 3</c:v>
                </c:pt>
              </c:strCache>
            </c:strRef>
          </c:cat>
          <c:val>
            <c:numRef>
              <c:f>'PAD Submission Dashboard '!$J$2:$J$4</c:f>
              <c:numCache>
                <c:formatCode>General</c:formatCode>
                <c:ptCount val="3"/>
                <c:pt idx="0">
                  <c:v>0</c:v>
                </c:pt>
                <c:pt idx="1">
                  <c:v>0</c:v>
                </c:pt>
                <c:pt idx="2">
                  <c:v>0</c:v>
                </c:pt>
              </c:numCache>
            </c:numRef>
          </c:val>
          <c:extLst>
            <c:ext xmlns:c16="http://schemas.microsoft.com/office/drawing/2014/chart" uri="{C3380CC4-5D6E-409C-BE32-E72D297353CC}">
              <c16:uniqueId val="{00000000-59A8-4224-9816-D19A7E3F86A3}"/>
            </c:ext>
          </c:extLst>
        </c:ser>
        <c:dLbls>
          <c:showLegendKey val="0"/>
          <c:showVal val="0"/>
          <c:showCatName val="0"/>
          <c:showSerName val="0"/>
          <c:showPercent val="0"/>
          <c:showBubbleSize val="0"/>
        </c:dLbls>
        <c:gapWidth val="219"/>
        <c:overlap val="-27"/>
        <c:axId val="1075608543"/>
        <c:axId val="1075611423"/>
      </c:barChart>
      <c:catAx>
        <c:axId val="107560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611423"/>
        <c:crosses val="autoZero"/>
        <c:auto val="1"/>
        <c:lblAlgn val="ctr"/>
        <c:lblOffset val="100"/>
        <c:noMultiLvlLbl val="0"/>
      </c:catAx>
      <c:valAx>
        <c:axId val="1075611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56085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'PAD Submission Dashboard '!$D$1</c:f>
              <c:strCache>
                <c:ptCount val="1"/>
                <c:pt idx="0">
                  <c:v>Non Submission Rate (%)</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'PAD Submission Dashboard '!$A$2:$A$13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'PAD Submission Dashboard '!$D$2:$D$13</c:f>
              <c:numCache>
                <c:formatCode>0.0</c:formatCode>
                <c:ptCount val="12"/>
                <c:pt idx="0">
                  <c:v>2.1276595744680851</c:v>
                </c:pt>
                <c:pt idx="1">
                  <c:v>2.083333333333333</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FF43-48CA-9001-249CC9EFAF4F}"/>
            </c:ext>
          </c:extLst>
        </c:ser>
        <c:ser>
          <c:idx val="1"/>
          <c:order val="1"/>
          <c:tx>
            <c:strRef>
              <c:f>'PAD Submission Dashboard '!$E$1</c:f>
              <c:strCache>
                <c:ptCount val="1"/>
                <c:pt idx="0">
                  <c:v> Number of Incidents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'PAD Submission Dashboard '!$A$2:$A$13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'PAD Submission Dashboard '!$E$2:$E$13</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FF43-48CA-9001-249CC9EFAF4F}"/>
            </c:ext>
          </c:extLst>
        </c:ser>
        <c:dLbls>
          <c:dLblPos val="outEnd"/>
          <c:showLegendKey val="0"/>
          <c:showVal val="1"/>
          <c:showCatName val="0"/>
          <c:showSerName val="0"/>
          <c:showPercent val="0"/>
          <c:showBubbleSize val="0"/>
        </c:dLbls>
        <c:gapWidth val="100"/>
        <c:overlap val="-24"/>
        <c:axId val="1075586943"/>
        <c:axId val="1075583583"/>
      </c:barChart>
      <c:catAx>
        <c:axId val="10755869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75583583"/>
        <c:crosses val="autoZero"/>
        <c:auto val="1"/>
        <c:lblAlgn val="ctr"/>
        <c:lblOffset val="100"/>
        <c:noMultiLvlLbl val="0"/>
      </c:catAx>
      <c:valAx>
        <c:axId val="1075583583"/>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75586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'PAD Submission Dashboard '!$E$1</c:f>
              <c:strCache>
                <c:ptCount val="1"/>
                <c:pt idx="0">
                  <c:v> Number of Incidents</c:v>
                </c:pt>
              </c:strCache>
            </c:strRef>
          </c:tx>
          <c:spPr>
            <a:solidFill>
              <a:schemeClr val="accent1"/>
            </a:solidFill>
            <a:ln>
              <a:noFill/>
            </a:ln>
            <a:effectLst/>
          </c:spPr>
          <c:invertIfNegative val="0"/>
          <c:cat>
            <c:strRef>
              <c:f>'PAD Submission Dashboard '!$A$2:$A$13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'PAD Submission Dashboard '!$E$2:$E$13</c:f>
              <c:numCache>
                <c:formatCode>General</c:formatCode>
                <c:ptCount val="12"/>
                <c:pt idx="0">
                  <c:v>1</c:v>
                </c:pt>
                <c:pt idx="1">
                  <c:v>1</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F776-40E5-A171-F36B683082C6}"/>
            </c:ext>
          </c:extLst>
        </c:ser>
        <c:dLbls>
          <c:showLegendKey val="0"/>
          <c:showVal val="0"/>
          <c:showCatName val="0"/>
          <c:showSerName val="0"/>
          <c:showPercent val="0"/>
          <c:showBubbleSize val="0"/>
        </c:dLbls>
        <c:gapWidth val="219"/>
        <c:overlap val="-27"/>
        <c:axId val="1721525904"/>
        <c:axId val="1721517744"/>
      </c:barChart>
      <c:catAx>
        <c:axId val="172152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517744"/>
        <c:crosses val="autoZero"/>
        <c:auto val="1"/>
        <c:lblAlgn val="ctr"/>
        <c:lblOffset val="100"/>
        <c:noMultiLvlLbl val="0"/>
      </c:catAx>
      <c:valAx>
        <c:axId val="1721517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52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Monthly Non Submission Rate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'PAD Submission Dashboard '!$D$1</c:f>
              <c:strCache>
                <c:ptCount val="1"/>
                <c:pt idx="0">
                  <c:v>Non Submission Rate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'PAD Submission Dashboard '!$A$2:$A$13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'PAD Submission Dashboard '!$D$2:$D$13</c:f>
              <c:numCache>
                <c:formatCode>0.0</c:formatCode>
                <c:ptCount val="12"/>
                <c:pt idx="0">
                  <c:v>2.1276595744680851</c:v>
                </c:pt>
                <c:pt idx="1">
                  <c:v>2.083333333333333</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173D-42D2-BF39-D1D31E430B41}"/>
            </c:ext>
          </c:extLst>
        </c:ser>
        <c:dLbls>
          <c:showLegendKey val="0"/>
          <c:showVal val="0"/>
          <c:showCatName val="0"/>
          <c:showSerName val="0"/>
          <c:showPercent val="0"/>
          <c:showBubbleSize val="0"/>
        </c:dLbls>
        <c:gapWidth val="219"/>
        <c:overlap val="-27"/>
        <c:axId val="1721495184"/>
        <c:axId val="1721479344"/>
      </c:barChart>
      <c:catAx>
        <c:axId val="1721495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1479344"/>
        <c:crosses val="autoZero"/>
        <c:auto val="1"/>
        <c:lblAlgn val="ctr"/>
        <c:lblOffset val="100"/>
        <c:noMultiLvlLbl val="0"/>
      </c:catAx>
      <c:valAx>
        <c:axId val="1721479344"/>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1495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'PAD Submission Dashboard '!$C$48</c:f>
              <c:strCache>
                <c:ptCount val="1"/>
                <c:pt idx="0">
                  <c:v>Employees Who Did Not Submit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'PAD Submission Dashboard '!$B$49:$B$53</c:f>
              <c:numCache>
                <c:formatCode>General</c:formatCode>
                <c:ptCount val="5"/>
              </c:numCache>
            </c:numRef>
          </c:cat>
          <c:val>
            <c:numRef>
              <c:f>'PAD Submission Dashboard '!$C$49:$C$53</c:f>
              <c:numCache>
                <c:formatCode>General</c:formatCode>
                <c:ptCount val="5"/>
              </c:numCache>
            </c:numRef>
          </c:val>
          <c:extLst>
            <c:ext xmlns:c16="http://schemas.microsoft.com/office/drawing/2014/chart" uri="{C3380CC4-5D6E-409C-BE32-E72D297353CC}">
              <c16:uniqueId val="{00000000-9F73-4E19-A150-D6FF4288D920}"/>
            </c:ext>
          </c:extLst>
        </c:ser>
        <c:ser>
          <c:idx val="1"/>
          <c:order val="1"/>
          <c:tx>
            <c:strRef>
              <c:f>'PAD Submission Dashboard '!$D$48</c:f>
              <c:strCache>
                <c:ptCount val="1"/>
                <c:pt idx="0">
                  <c:v>Total Employees Required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'PAD Submission Dashboard '!$B$49:$B$53</c:f>
              <c:numCache>
                <c:formatCode>General</c:formatCode>
                <c:ptCount val="5"/>
              </c:numCache>
            </c:numRef>
          </c:cat>
          <c:val>
            <c:numRef>
              <c:f>'PAD Submission Dashboard '!$D$49:$D$53</c:f>
              <c:numCache>
                <c:formatCode>General</c:formatCode>
                <c:ptCount val="5"/>
              </c:numCache>
            </c:numRef>
          </c:val>
          <c:extLst>
            <c:ext xmlns:c16="http://schemas.microsoft.com/office/drawing/2014/chart" uri="{C3380CC4-5D6E-409C-BE32-E72D297353CC}">
              <c16:uniqueId val="{00000001-9F73-4E19-A150-D6FF4288D920}"/>
            </c:ext>
          </c:extLst>
        </c:ser>
        <c:ser>
          <c:idx val="2"/>
          <c:order val="2"/>
          <c:tx>
            <c:strRef>
              <c:f>'PAD Submission Dashboard '!$E$48</c:f>
              <c:strCache>
                <c:ptCount val="1"/>
                <c:pt idx="0">
                  <c:v>Non Submission Rate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'PAD Submission Dashboard '!$B$49:$B$53</c:f>
              <c:numCache>
                <c:formatCode>General</c:formatCode>
                <c:ptCount val="5"/>
              </c:numCache>
            </c:numRef>
          </c:cat>
          <c:val>
            <c:numRef>
              <c:f>'PAD Submission Dashboard '!$E$49:$E$53</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2-9F73-4E19-A150-D6FF4288D920}"/>
            </c:ext>
          </c:extLst>
        </c:ser>
        <c:dLbls>
          <c:dLblPos val="outEnd"/>
          <c:showLegendKey val="0"/>
          <c:showVal val="1"/>
          <c:showCatName val="0"/>
          <c:showSerName val="0"/>
          <c:showPercent val="0"/>
          <c:showBubbleSize val="0"/>
        </c:dLbls>
        <c:gapWidth val="219"/>
        <c:overlap val="-27"/>
        <c:axId val="728549376"/>
        <c:axId val="728537856"/>
      </c:barChart>
      <c:catAx>
        <c:axId val="72854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37856"/>
        <c:crosses val="autoZero"/>
        <c:auto val="1"/>
        <c:lblAlgn val="ctr"/>
        <c:lblOffset val="100"/>
        <c:noMultiLvlLbl val="0"/>
      </c:catAx>
      <c:valAx>
        <c:axId val="7285378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54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Monthly Non Submission Rate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'PAD Submission Dashboard '!$E$48</c:f>
              <c:strCache>
                <c:ptCount val="1"/>
                <c:pt idx="0">
                  <c:v>Non Submission Rate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'PAD Submission Dashboard '!$B$49:$B$53</c:f>
              <c:numCache>
                <c:formatCode>General</c:formatCode>
                <c:ptCount val="5"/>
              </c:numCache>
            </c:numRef>
          </c:cat>
          <c:val>
            <c:numRef>
              <c:f>'PAD Submission Dashboard '!$E$49:$E$53</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F17F-4C94-AFD6-BD489069345A}"/>
            </c:ext>
          </c:extLst>
        </c:ser>
        <c:dLbls>
          <c:dLblPos val="outEnd"/>
          <c:showLegendKey val="0"/>
          <c:showVal val="1"/>
          <c:showCatName val="0"/>
          <c:showSerName val="0"/>
          <c:showPercent val="0"/>
          <c:showBubbleSize val="0"/>
        </c:dLbls>
        <c:gapWidth val="219"/>
        <c:overlap val="-27"/>
        <c:axId val="1721495184"/>
        <c:axId val="1721479344"/>
      </c:barChart>
      <c:catAx>
        <c:axId val="1721495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1479344"/>
        <c:crosses val="autoZero"/>
        <c:auto val="1"/>
        <c:lblAlgn val="ctr"/>
        <c:lblOffset val="100"/>
        <c:noMultiLvlLbl val="0"/>
      </c:catAx>
      <c:valAx>
        <c:axId val="1721479344"/>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21495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521136340144936E-2"/>
          <c:y val="5.2068799488741789E-2"/>
          <c:w val="0.95865127100943515"/>
          <c:h val="0.88870857846283779"/>
        </c:manualLayout>
      </c:layout>
      <c:barChart>
        <c:barDir val="col"/>
        <c:grouping val="clustered"/>
        <c:varyColors val="0"/>
        <c:ser>
          <c:idx val="2"/>
          <c:order val="1"/>
          <c:tx>
            <c:strRef>
              <c:f>'PAD Submission Dashboard '!$P$75</c:f>
              <c:strCache>
                <c:ptCount val="1"/>
                <c:pt idx="0">
                  <c:v>incident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'PAD Submission Dashboard '!$N$76:$N$92</c:f>
              <c:strCache>
                <c:ptCount val="17"/>
                <c:pt idx="0">
                  <c:v>August</c:v>
                </c:pt>
                <c:pt idx="1">
                  <c:v>September</c:v>
                </c:pt>
                <c:pt idx="2">
                  <c:v>October</c:v>
                </c:pt>
                <c:pt idx="3">
                  <c:v>November</c:v>
                </c:pt>
                <c:pt idx="4">
                  <c:v>December</c:v>
                </c:pt>
                <c:pt idx="5">
                  <c:v>January</c:v>
                </c:pt>
                <c:pt idx="6">
                  <c:v>February</c:v>
                </c:pt>
                <c:pt idx="7">
                  <c:v>March</c:v>
                </c:pt>
                <c:pt idx="8">
                  <c:v>April</c:v>
                </c:pt>
                <c:pt idx="9">
                  <c:v>May</c:v>
                </c:pt>
                <c:pt idx="10">
                  <c:v>June</c:v>
                </c:pt>
                <c:pt idx="11">
                  <c:v>July</c:v>
                </c:pt>
                <c:pt idx="12">
                  <c:v>August</c:v>
                </c:pt>
                <c:pt idx="13">
                  <c:v>September</c:v>
                </c:pt>
                <c:pt idx="14">
                  <c:v>October</c:v>
                </c:pt>
                <c:pt idx="15">
                  <c:v>November</c:v>
                </c:pt>
                <c:pt idx="16">
                  <c:v>December</c:v>
                </c:pt>
              </c:strCache>
            </c:strRef>
          </c:cat>
          <c:val>
            <c:numRef>
              <c:f>'PAD Submission Dashboard '!$P$76:$P$92</c:f>
              <c:numCache>
                <c:formatCode>General</c:formatCode>
                <c:ptCount val="17"/>
                <c:pt idx="5">
                  <c:v>1</c:v>
                </c:pt>
                <c:pt idx="6">
                  <c:v>0</c:v>
                </c:pt>
                <c:pt idx="7">
                  <c:v>0</c:v>
                </c:pt>
                <c:pt idx="8">
                  <c:v>2</c:v>
                </c:pt>
                <c:pt idx="9">
                  <c:v>0</c:v>
                </c:pt>
                <c:pt idx="10">
                  <c:v>0</c:v>
                </c:pt>
                <c:pt idx="11">
                  <c:v>0</c:v>
                </c:pt>
                <c:pt idx="12">
                  <c:v>2</c:v>
                </c:pt>
                <c:pt idx="13">
                  <c:v>0</c:v>
                </c:pt>
                <c:pt idx="14">
                  <c:v>0</c:v>
                </c:pt>
                <c:pt idx="15">
                  <c:v>0</c:v>
                </c:pt>
                <c:pt idx="16">
                  <c:v>0</c:v>
                </c:pt>
              </c:numCache>
            </c:numRef>
          </c:val>
          <c:extLst>
            <c:ext xmlns:c16="http://schemas.microsoft.com/office/drawing/2014/chart" uri="{C3380CC4-5D6E-409C-BE32-E72D297353CC}">
              <c16:uniqueId val="{00000003-0A77-45B8-964D-5036C9A3AACA}"/>
            </c:ext>
          </c:extLst>
        </c:ser>
        <c:dLbls>
          <c:showLegendKey val="0"/>
          <c:showVal val="0"/>
          <c:showCatName val="0"/>
          <c:showSerName val="0"/>
          <c:showPercent val="0"/>
          <c:showBubbleSize val="0"/>
        </c:dLbls>
        <c:gapWidth val="150"/>
        <c:axId val="595123167"/>
        <c:axId val="595104447"/>
      </c:barChart>
      <c:lineChart>
        <c:grouping val="standard"/>
        <c:varyColors val="0"/>
        <c:ser>
          <c:idx val="0"/>
          <c:order val="0"/>
          <c:tx>
            <c:strRef>
              <c:f>'PAD Submission Dashboard '!$O$75</c:f>
              <c:strCache>
                <c:ptCount val="1"/>
                <c:pt idx="0">
                  <c:v>Non Submission Rate (%)</c:v>
                </c:pt>
              </c:strCache>
            </c:strRef>
          </c:tx>
          <c:spPr>
            <a:ln w="28575" cap="rnd">
              <a:solidFill>
                <a:schemeClr val="accent1"/>
              </a:solidFill>
              <a:round/>
            </a:ln>
            <a:effectLst/>
          </c:spPr>
          <c:marker>
            <c:symbol val="none"/>
          </c:marker>
          <c:dLbls>
            <c:dLbl>
              <c:idx val="10"/>
              <c:layout>
                <c:manualLayout>
                  <c:x val="-1.408200656457839E-2"/>
                  <c:y val="-4.98094504669944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CCD-49CF-BA1D-C93B10AE4C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'PAD Submission Dashboard '!$N$76:$N$92</c:f>
              <c:strCache>
                <c:ptCount val="17"/>
                <c:pt idx="0">
                  <c:v>August</c:v>
                </c:pt>
                <c:pt idx="1">
                  <c:v>September</c:v>
                </c:pt>
                <c:pt idx="2">
                  <c:v>October</c:v>
                </c:pt>
                <c:pt idx="3">
                  <c:v>November</c:v>
                </c:pt>
                <c:pt idx="4">
                  <c:v>December</c:v>
                </c:pt>
                <c:pt idx="5">
                  <c:v>January</c:v>
                </c:pt>
                <c:pt idx="6">
                  <c:v>February</c:v>
                </c:pt>
                <c:pt idx="7">
                  <c:v>March</c:v>
                </c:pt>
                <c:pt idx="8">
                  <c:v>April</c:v>
                </c:pt>
                <c:pt idx="9">
                  <c:v>May</c:v>
                </c:pt>
                <c:pt idx="10">
                  <c:v>June</c:v>
                </c:pt>
                <c:pt idx="11">
                  <c:v>July</c:v>
                </c:pt>
                <c:pt idx="12">
                  <c:v>August</c:v>
                </c:pt>
                <c:pt idx="13">
                  <c:v>September</c:v>
                </c:pt>
                <c:pt idx="14">
                  <c:v>October</c:v>
                </c:pt>
                <c:pt idx="15">
                  <c:v>November</c:v>
                </c:pt>
                <c:pt idx="16">
                  <c:v>December</c:v>
                </c:pt>
              </c:strCache>
            </c:strRef>
          </c:cat>
          <c:val>
            <c:numRef>
              <c:f>'PAD Submission Dashboard '!$O$76:$O$92</c:f>
              <c:numCache>
                <c:formatCode>0.0</c:formatCode>
                <c:ptCount val="17"/>
                <c:pt idx="0">
                  <c:v>13.793103448275861</c:v>
                </c:pt>
                <c:pt idx="1">
                  <c:v>41.379310344827587</c:v>
                </c:pt>
                <c:pt idx="2">
                  <c:v>26.666666666666668</c:v>
                </c:pt>
                <c:pt idx="3">
                  <c:v>16.129032258064516</c:v>
                </c:pt>
                <c:pt idx="4">
                  <c:v>12.121212121212121</c:v>
                </c:pt>
                <c:pt idx="5">
                  <c:v>2.7027027027027026</c:v>
                </c:pt>
                <c:pt idx="6">
                  <c:v>0</c:v>
                </c:pt>
                <c:pt idx="7">
                  <c:v>12.5</c:v>
                </c:pt>
                <c:pt idx="8">
                  <c:v>2.5</c:v>
                </c:pt>
                <c:pt idx="9">
                  <c:v>4.5454545454545459</c:v>
                </c:pt>
                <c:pt idx="10">
                  <c:v>0</c:v>
                </c:pt>
                <c:pt idx="11">
                  <c:v>8.5106382978723403</c:v>
                </c:pt>
                <c:pt idx="12">
                  <c:v>6.5217391304347823</c:v>
                </c:pt>
                <c:pt idx="13">
                  <c:v>6.8181818181818175</c:v>
                </c:pt>
                <c:pt idx="14">
                  <c:v>0</c:v>
                </c:pt>
                <c:pt idx="15">
                  <c:v>0</c:v>
                </c:pt>
                <c:pt idx="16">
                  <c:v>2.2000000000000002</c:v>
                </c:pt>
              </c:numCache>
            </c:numRef>
          </c:val>
          <c:smooth val="0"/>
          <c:extLst>
            <c:ext xmlns:c16="http://schemas.microsoft.com/office/drawing/2014/chart" uri="{C3380CC4-5D6E-409C-BE32-E72D297353CC}">
              <c16:uniqueId val="{00000000-FB8B-4174-8248-C7987FFED3EE}"/>
            </c:ext>
          </c:extLst>
        </c:ser>
        <c:dLbls>
          <c:dLblPos val="t"/>
          <c:showLegendKey val="0"/>
          <c:showVal val="1"/>
          <c:showCatName val="0"/>
          <c:showSerName val="0"/>
          <c:showPercent val="0"/>
          <c:showBubbleSize val="0"/>
        </c:dLbls>
        <c:marker val="1"/>
        <c:smooth val="0"/>
        <c:axId val="1146974288"/>
        <c:axId val="1146966608"/>
      </c:lineChart>
      <c:catAx>
        <c:axId val="114697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66608"/>
        <c:crosses val="autoZero"/>
        <c:auto val="1"/>
        <c:lblAlgn val="ctr"/>
        <c:lblOffset val="100"/>
        <c:noMultiLvlLbl val="0"/>
      </c:catAx>
      <c:valAx>
        <c:axId val="114696660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974288"/>
        <c:crosses val="autoZero"/>
        <c:crossBetween val="between"/>
      </c:valAx>
      <c:valAx>
        <c:axId val="59510444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23167"/>
        <c:crosses val="max"/>
        <c:crossBetween val="between"/>
      </c:valAx>
      <c:catAx>
        <c:axId val="595123167"/>
        <c:scaling>
          <c:orientation val="minMax"/>
        </c:scaling>
        <c:delete val="1"/>
        <c:axPos val="b"/>
        <c:numFmt formatCode="General" sourceLinked="1"/>
        <c:majorTickMark val="out"/>
        <c:minorTickMark val="none"/>
        <c:tickLblPos val="nextTo"/>
        <c:crossAx val="595104447"/>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'PAD Submission Dashboard '!$O$75</c:f>
              <c:strCache>
                <c:ptCount val="1"/>
                <c:pt idx="0">
                  <c:v>Non Submission Rate (%)</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'PAD Submission Dashboard '!$N$76:$N$92</c:f>
              <c:strCache>
                <c:ptCount val="17"/>
                <c:pt idx="0">
                  <c:v>August</c:v>
                </c:pt>
                <c:pt idx="1">
                  <c:v>September</c:v>
                </c:pt>
                <c:pt idx="2">
                  <c:v>October</c:v>
                </c:pt>
                <c:pt idx="3">
                  <c:v>November</c:v>
                </c:pt>
                <c:pt idx="4">
                  <c:v>December</c:v>
                </c:pt>
                <c:pt idx="5">
                  <c:v>January</c:v>
                </c:pt>
                <c:pt idx="6">
                  <c:v>February</c:v>
                </c:pt>
                <c:pt idx="7">
                  <c:v>March</c:v>
                </c:pt>
                <c:pt idx="8">
                  <c:v>April</c:v>
                </c:pt>
                <c:pt idx="9">
                  <c:v>May</c:v>
                </c:pt>
                <c:pt idx="10">
                  <c:v>June</c:v>
                </c:pt>
                <c:pt idx="11">
                  <c:v>July</c:v>
                </c:pt>
                <c:pt idx="12">
                  <c:v>August</c:v>
                </c:pt>
                <c:pt idx="13">
                  <c:v>September</c:v>
                </c:pt>
                <c:pt idx="14">
                  <c:v>October</c:v>
                </c:pt>
                <c:pt idx="15">
                  <c:v>November</c:v>
                </c:pt>
                <c:pt idx="16">
                  <c:v>December</c:v>
                </c:pt>
              </c:strCache>
            </c:strRef>
          </c:cat>
          <c:val>
            <c:numRef>
              <c:f>'PAD Submission Dashboard '!$O$76:$O$92</c:f>
              <c:numCache>
                <c:formatCode>0.0</c:formatCode>
                <c:ptCount val="17"/>
                <c:pt idx="0">
                  <c:v>13.793103448275861</c:v>
                </c:pt>
                <c:pt idx="1">
                  <c:v>41.379310344827587</c:v>
                </c:pt>
                <c:pt idx="2">
                  <c:v>26.666666666666668</c:v>
                </c:pt>
                <c:pt idx="3">
                  <c:v>16.129032258064516</c:v>
                </c:pt>
                <c:pt idx="4">
                  <c:v>12.121212121212121</c:v>
                </c:pt>
                <c:pt idx="5">
                  <c:v>2.7027027027027026</c:v>
                </c:pt>
                <c:pt idx="6">
                  <c:v>0</c:v>
                </c:pt>
                <c:pt idx="7">
                  <c:v>12.5</c:v>
                </c:pt>
                <c:pt idx="8">
                  <c:v>2.5</c:v>
                </c:pt>
                <c:pt idx="9">
                  <c:v>4.5454545454545459</c:v>
                </c:pt>
                <c:pt idx="10">
                  <c:v>0</c:v>
                </c:pt>
                <c:pt idx="11">
                  <c:v>8.5106382978723403</c:v>
                </c:pt>
                <c:pt idx="12">
                  <c:v>6.5217391304347823</c:v>
                </c:pt>
                <c:pt idx="13">
                  <c:v>6.8181818181818175</c:v>
                </c:pt>
                <c:pt idx="14">
                  <c:v>0</c:v>
                </c:pt>
                <c:pt idx="15">
                  <c:v>0</c:v>
                </c:pt>
                <c:pt idx="16">
                  <c:v>2.2000000000000002</c:v>
                </c:pt>
              </c:numCache>
            </c:numRef>
          </c:val>
          <c:smooth val="0"/>
          <c:extLst>
            <c:ext xmlns:c16="http://schemas.microsoft.com/office/drawing/2014/chart" uri="{C3380CC4-5D6E-409C-BE32-E72D297353CC}">
              <c16:uniqueId val="{00000000-5656-4E1B-BC00-C656F59C6008}"/>
            </c:ext>
          </c:extLst>
        </c:ser>
        <c:dLbls>
          <c:dLblPos val="t"/>
          <c:showLegendKey val="0"/>
          <c:showVal val="1"/>
          <c:showCatName val="0"/>
          <c:showSerName val="0"/>
          <c:showPercent val="0"/>
          <c:showBubbleSize val="0"/>
        </c:dLbls>
        <c:smooth val="0"/>
        <c:axId val="1146987728"/>
        <c:axId val="1146988208"/>
      </c:lineChart>
      <c:catAx>
        <c:axId val="114698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46988208"/>
        <c:crosses val="autoZero"/>
        <c:auto val="1"/>
        <c:lblAlgn val="ctr"/>
        <c:lblOffset val="100"/>
        <c:noMultiLvlLbl val="0"/>
      </c:catAx>
      <c:valAx>
        <c:axId val="114698820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14698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PAD statements submission tracker.xlsx]PAD Approval Dashboard!PivotTable1</c:name>
    <c:fmtId val="5"/>
  </c:pivotSource>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n-US"/>
              <a:t>Trade</a:t>
            </a:r>
            <a:r>
              <a:rPr lang="en-US" baseline="0"/>
              <a:t> Per Staff -2025</a:t>
            </a:r>
            <a:endParaRPr lang="en-US"/>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'PAD Approval Dashboard'!$B$3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'PAD Approval Dashboard'!$A$4:$A$32</c:f>
              <c:strCache>
                <c:ptCount val="28"/>
                <c:pt idx="0">
                  <c:v>Abhijith Aravindan</c:v>
                </c:pt>
                <c:pt idx="1">
                  <c:v>Alberto Pasini</c:v>
                </c:pt>
                <c:pt idx="2">
                  <c:v>Alexander Tsikouras</c:v>
                </c:pt>
                <c:pt idx="3">
                  <c:v>Alexandre Pol</c:v>
                </c:pt>
                <c:pt idx="4">
                  <c:v>Alwyn Show</c:v>
                </c:pt>
                <c:pt idx="5">
                  <c:v>Antonio Miguel Velasco</c:v>
                </c:pt>
                <c:pt idx="6">
                  <c:v>Ariel Tang</c:v>
                </c:pt>
                <c:pt idx="7">
                  <c:v>Bella Yao</c:v>
                </c:pt>
                <c:pt idx="8">
                  <c:v>Benjamin Cheng</c:v>
                </c:pt>
                <c:pt idx="9">
                  <c:v>Guillaume Page</c:v>
                </c:pt>
                <c:pt idx="10">
                  <c:v>Ian Tjahjadi</c:v>
                </c:pt>
                <c:pt idx="11">
                  <c:v>Jasdeep Sethi</c:v>
                </c:pt>
                <c:pt idx="12">
                  <c:v>Jaya Ramesh Chaliki</c:v>
                </c:pt>
                <c:pt idx="13">
                  <c:v>Jericho Mesina</c:v>
                </c:pt>
                <c:pt idx="14">
                  <c:v>Jess Cheung</c:v>
                </c:pt>
                <c:pt idx="15">
                  <c:v>Julius Chau</c:v>
                </c:pt>
                <c:pt idx="16">
                  <c:v>Lluvia Wu</c:v>
                </c:pt>
                <c:pt idx="17">
                  <c:v>Luca Gentzbourger</c:v>
                </c:pt>
                <c:pt idx="18">
                  <c:v>Matthias Lanzoni</c:v>
                </c:pt>
                <c:pt idx="19">
                  <c:v>Nathan Gregori</c:v>
                </c:pt>
                <c:pt idx="20">
                  <c:v>Nicolas Staerkle</c:v>
                </c:pt>
                <c:pt idx="21">
                  <c:v>Philippe Herminjard</c:v>
                </c:pt>
                <c:pt idx="22">
                  <c:v>Sunny Zhao</c:v>
                </c:pt>
                <c:pt idx="23">
                  <c:v>William Chan</c:v>
                </c:pt>
                <c:pt idx="24">
                  <c:v>Wing Or</c:v>
                </c:pt>
                <c:pt idx="25">
                  <c:v>Xuan Lam Nguyen Tang</c:v>
                </c:pt>
                <c:pt idx="26">
                  <c:v>Yao Wang</c:v>
                </c:pt>
                <c:pt idx="27">
                  <c:v>Zenobia Lo</c:v>
                </c:pt>
              </c:strCache>
            </c:strRef>
          </c:cat>
          <c:val>
            <c:numRef>
              <c:f>'PAD Approval Dashboard'!$B$4:$B$32</c:f>
              <c:numCache>
                <c:formatCode>General</c:formatCode>
                <c:ptCount val="28"/>
                <c:pt idx="0">
                  <c:v>12</c:v>
                </c:pt>
                <c:pt idx="1">
                  <c:v>16</c:v>
                </c:pt>
                <c:pt idx="2">
                  <c:v>1</c:v>
                </c:pt>
                <c:pt idx="3">
                  <c:v>1</c:v>
                </c:pt>
                <c:pt idx="4">
                  <c:v>11</c:v>
                </c:pt>
                <c:pt idx="5">
                  <c:v>1</c:v>
                </c:pt>
                <c:pt idx="6">
                  <c:v>25</c:v>
                </c:pt>
                <c:pt idx="7">
                  <c:v>2</c:v>
                </c:pt>
                <c:pt idx="8">
                  <c:v>6</c:v>
                </c:pt>
                <c:pt idx="9">
                  <c:v>6</c:v>
                </c:pt>
                <c:pt idx="10">
                  <c:v>2</c:v>
                </c:pt>
                <c:pt idx="11">
                  <c:v>36</c:v>
                </c:pt>
                <c:pt idx="12">
                  <c:v>34</c:v>
                </c:pt>
                <c:pt idx="13">
                  <c:v>1</c:v>
                </c:pt>
                <c:pt idx="14">
                  <c:v>2</c:v>
                </c:pt>
                <c:pt idx="15">
                  <c:v>4</c:v>
                </c:pt>
                <c:pt idx="16">
                  <c:v>12</c:v>
                </c:pt>
                <c:pt idx="17">
                  <c:v>1</c:v>
                </c:pt>
                <c:pt idx="18">
                  <c:v>6</c:v>
                </c:pt>
                <c:pt idx="19">
                  <c:v>14</c:v>
                </c:pt>
                <c:pt idx="20">
                  <c:v>14</c:v>
                </c:pt>
                <c:pt idx="21">
                  <c:v>2</c:v>
                </c:pt>
                <c:pt idx="22">
                  <c:v>2</c:v>
                </c:pt>
                <c:pt idx="23">
                  <c:v>4</c:v>
                </c:pt>
                <c:pt idx="24">
                  <c:v>15</c:v>
                </c:pt>
                <c:pt idx="25">
                  <c:v>4</c:v>
                </c:pt>
                <c:pt idx="26">
                  <c:v>6</c:v>
                </c:pt>
                <c:pt idx="27">
                  <c:v>3</c:v>
                </c:pt>
              </c:numCache>
            </c:numRef>
          </c:val>
          <c:extLst>
            <c:ext xmlns:c16="http://schemas.microsoft.com/office/drawing/2014/chart" uri="{C3380CC4-5D6E-409C-BE32-E72D297353CC}">
              <c16:uniqueId val="{00000000-81C8-4655-A10A-5D61AB494CFF}"/>
            </c:ext>
          </c:extLst>
        </c:ser>
        <c:dLbls>
          <c:dLblPos val="outEnd"/>
          <c:showLegendKey val="0"/>
          <c:showVal val="1"/>
          <c:showCatName val="0"/>
          <c:showSerName val="0"/>
          <c:showPercent val="0"/>
          <c:showBubbleSize val="0"/>
        </c:dLbls>
        <c:gapWidth val="219"/>
        <c:overlap val="-27"/>
        <c:axId val="1476946095"/>
        <c:axId val="1476946575"/>
      </c:barChart>
      <c:catAx>
        <c:axId val="147694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76946575"/>
        <c:crosses val="autoZero"/>
        <c:auto val="1"/>
        <c:lblAlgn val="ctr"/>
        <c:lblOffset val="100"/>
        <c:noMultiLvlLbl val="0"/>
      </c:catAx>
      <c:valAx>
        <c:axId val="1476946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7694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[2026 PAD statements submission tracker.xlsx]PAD Approval Dashboard!PivotTable2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PAD Request</a:t>
            </a:r>
            <a:r>
              <a:rPr lang="en-US" baseline="0"/>
              <a:t> - 2025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'PAD Approval Dashboard'!$B$50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'PAD Approval Dashboard'!$A$51:$A$63</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'PAD Approval Dashboard'!$B$51:$B$63</c:f>
              <c:numCache>
                <c:formatCode>General</c:formatCode>
                <c:ptCount val="12"/>
                <c:pt idx="0">
                  <c:v>19</c:v>
                </c:pt>
                <c:pt idx="1">
                  <c:v>24</c:v>
                </c:pt>
                <c:pt idx="2">
                  <c:v>12</c:v>
                </c:pt>
                <c:pt idx="3">
                  <c:v>22</c:v>
                </c:pt>
                <c:pt idx="4">
                  <c:v>14</c:v>
                </c:pt>
                <c:pt idx="5">
                  <c:v>10</c:v>
                </c:pt>
                <c:pt idx="6">
                  <c:v>24</c:v>
                </c:pt>
                <c:pt idx="7">
                  <c:v>32</c:v>
                </c:pt>
                <c:pt idx="8">
                  <c:v>37</c:v>
                </c:pt>
                <c:pt idx="9">
                  <c:v>23</c:v>
                </c:pt>
                <c:pt idx="10">
                  <c:v>14</c:v>
                </c:pt>
                <c:pt idx="11">
                  <c:v>12</c:v>
                </c:pt>
              </c:numCache>
            </c:numRef>
          </c:val>
          <c:extLst>
            <c:ext xmlns:c16="http://schemas.microsoft.com/office/drawing/2014/chart" uri="{C3380CC4-5D6E-409C-BE32-E72D297353CC}">
              <c16:uniqueId val="{00000000-DDD5-4F43-B0C3-24EFB4381A9D}"/>
            </c:ext>
          </c:extLst>
        </c:ser>
        <c:dLbls>
          <c:dLblPos val="outEnd"/>
          <c:showLegendKey val="0"/>
          <c:showVal val="1"/>
          <c:showCatName val="0"/>
          <c:showSerName val="0"/>
          <c:showPercent val="0"/>
          <c:showBubbleSize val="0"/>
        </c:dLbls>
        <c:gapWidth val="219"/>
        <c:overlap val="-27"/>
        <c:axId val="1865026767"/>
        <c:axId val="1865022447"/>
      </c:barChart>
      <c:catAx>
        <c:axId val="186502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022447"/>
        <c:crosses val="autoZero"/>
        <c:auto val="1"/>
        <c:lblAlgn val="ctr"/>
        <c:lblOffset val="100"/>
        <c:noMultiLvlLbl val="0"/>
      </c:catAx>
      <c:valAx>
        <c:axId val="1865022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02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Trade</a:t>
            </a:r>
            <a:r>
              <a:rPr lang="en-US" baseline="0"/>
              <a:t> Per Team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'PAD Approval Dashboard'!$Y$8:$Y$17</c:f>
              <c:strCache>
                <c:ptCount val="10"/>
                <c:pt idx="0">
                  <c:v>IT</c:v>
                </c:pt>
                <c:pt idx="1">
                  <c:v>RM</c:v>
                </c:pt>
                <c:pt idx="2">
                  <c:v>EXCO</c:v>
                </c:pt>
                <c:pt idx="3">
                  <c:v>OPS</c:v>
                </c:pt>
                <c:pt idx="4">
                  <c:v>PM</c:v>
                </c:pt>
                <c:pt idx="5">
                  <c:v>TRAD</c:v>
                </c:pt>
                <c:pt idx="6">
                  <c:v>RWG</c:v>
                </c:pt>
                <c:pt idx="7">
                  <c:v>L&amp;C</c:v>
                </c:pt>
                <c:pt idx="8">
                  <c:v>RMA</c:v>
                </c:pt>
                <c:pt idx="9">
                  <c:v>BA</c:v>
                </c:pt>
              </c:strCache>
            </c:strRef>
          </c:cat>
          <c:val>
            <c:numRef>
              <c:f>'PAD Approval Dashboard'!$Z$8:$Z$17</c:f>
              <c:numCache>
                <c:formatCode>General</c:formatCode>
                <c:ptCount val="10"/>
                <c:pt idx="0">
                  <c:v>47</c:v>
                </c:pt>
                <c:pt idx="1">
                  <c:v>36</c:v>
                </c:pt>
                <c:pt idx="2">
                  <c:v>2</c:v>
                </c:pt>
                <c:pt idx="3">
                  <c:v>53</c:v>
                </c:pt>
                <c:pt idx="4">
                  <c:v>8</c:v>
                </c:pt>
                <c:pt idx="5">
                  <c:v>47</c:v>
                </c:pt>
                <c:pt idx="6">
                  <c:v>38</c:v>
                </c:pt>
                <c:pt idx="7">
                  <c:v>4</c:v>
                </c:pt>
                <c:pt idx="8">
                  <c:v>6</c:v>
                </c:pt>
                <c:pt idx="9">
                  <c:v>2</c:v>
                </c:pt>
              </c:numCache>
            </c:numRef>
          </c:val>
          <c:extLst>
            <c:ext xmlns:c16="http://schemas.microsoft.com/office/drawing/2014/chart" uri="{C3380CC4-5D6E-409C-BE32-E72D297353CC}">
              <c16:uniqueId val="{00000000-9250-4E1C-836B-0625E6F51191}"/>
            </c:ext>
          </c:extLst>
        </c:ser>
        <c:dLbls>
          <c:dLblPos val="outEnd"/>
          <c:showLegendKey val="0"/>
          <c:showVal val="1"/>
          <c:showCatName val="0"/>
          <c:showSerName val="0"/>
          <c:showPercent val="0"/>
          <c:showBubbleSize val="0"/>
        </c:dLbls>
        <c:gapWidth val="219"/>
        <c:overlap val="-27"/>
        <c:axId val="1815052911"/>
        <c:axId val="1815059151"/>
      </c:barChart>
      <c:catAx>
        <c:axId val="181505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059151"/>
        <c:crosses val="autoZero"/>
        <c:auto val="1"/>
        <c:lblAlgn val="ctr"/>
        <c:lblOffset val="100"/>
        <c:noMultiLvlLbl val="0"/>
      </c:catAx>
      <c:valAx>
        <c:axId val="1815059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0529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26</xdr:col>
      <xdr:colOff>857250</xdr:colOff>
      <xdr:row>19</xdr:row>
      <xdr:rowOff>109536</xdr:rowOff>
    </xdr:from>
    <xdr:to>
      <xdr:col>34</xdr:col>
      <xdr:colOff>247650</xdr:colOff>
      <xdr:row>39</xdr:row>
      <xdr:rowOff>38099</xdr:rowOff>
    </xdr:to>
    <xdr:graphicFrame macro="">
      <xdr:nvGraphicFramePr>
        <xdr:cNvPr id="2" name="Chart 1">
          <a:extLst>
            <a:ext uri="{FF2B5EF4-FFF2-40B4-BE49-F238E27FC236}">
              <a16:creationId xmlns:a16="http://schemas.microsoft.com/office/drawing/2014/main" id="{EA63A082-B3B6-DDE8-5501-A2E3C7BA2C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903514</xdr:colOff>
      <xdr:row>26</xdr:row>
      <xdr:rowOff>148998</xdr:rowOff>
    </xdr:from>
    <xdr:to>
      <xdr:col>17</xdr:col>
      <xdr:colOff>131989</xdr:colOff>
      <xdr:row>41</xdr:row>
      <xdr:rowOff>34698</xdr:rowOff>
    </xdr:to>
    <xdr:graphicFrame macro="">
      <xdr:nvGraphicFramePr>
        <xdr:cNvPr id="3" name="Chart 2">
          <a:extLst>
            <a:ext uri="{FF2B5EF4-FFF2-40B4-BE49-F238E27FC236}">
              <a16:creationId xmlns:a16="http://schemas.microsoft.com/office/drawing/2014/main" id="{4618DA15-0CEA-4A3A-AC8B-6D885FD25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327933</xdr:colOff>
      <xdr:row>2</xdr:row>
      <xdr:rowOff>86405</xdr:rowOff>
    </xdr:from>
    <xdr:to>
      <xdr:col>21</xdr:col>
      <xdr:colOff>210911</xdr:colOff>
      <xdr:row>18</xdr:row>
      <xdr:rowOff>148318</xdr:rowOff>
    </xdr:to>
    <xdr:graphicFrame macro="">
      <xdr:nvGraphicFramePr>
        <xdr:cNvPr id="4" name="Chart 3">
          <a:extLst>
            <a:ext uri="{FF2B5EF4-FFF2-40B4-BE49-F238E27FC236}">
              <a16:creationId xmlns:a16="http://schemas.microsoft.com/office/drawing/2014/main" id="{47C8ABFB-11E2-4075-99CB-C982C4D33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63953</xdr:colOff>
      <xdr:row>13</xdr:row>
      <xdr:rowOff>105455</xdr:rowOff>
    </xdr:from>
    <xdr:to>
      <xdr:col>29</xdr:col>
      <xdr:colOff>352425</xdr:colOff>
      <xdr:row>27</xdr:row>
      <xdr:rowOff>181655</xdr:rowOff>
    </xdr:to>
    <xdr:graphicFrame macro="">
      <xdr:nvGraphicFramePr>
        <xdr:cNvPr id="5" name="Chart 4">
          <a:extLst>
            <a:ext uri="{FF2B5EF4-FFF2-40B4-BE49-F238E27FC236}">
              <a16:creationId xmlns:a16="http://schemas.microsoft.com/office/drawing/2014/main" id="{6C0276BC-7787-4990-9C0D-23974E000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4081</xdr:colOff>
      <xdr:row>17</xdr:row>
      <xdr:rowOff>15647</xdr:rowOff>
    </xdr:from>
    <xdr:to>
      <xdr:col>8</xdr:col>
      <xdr:colOff>353786</xdr:colOff>
      <xdr:row>40</xdr:row>
      <xdr:rowOff>68036</xdr:rowOff>
    </xdr:to>
    <xdr:graphicFrame macro="">
      <xdr:nvGraphicFramePr>
        <xdr:cNvPr id="6" name="Chart 5">
          <a:extLst>
            <a:ext uri="{FF2B5EF4-FFF2-40B4-BE49-F238E27FC236}">
              <a16:creationId xmlns:a16="http://schemas.microsoft.com/office/drawing/2014/main" id="{684E88FF-D480-423B-AA5C-A4F21082BFB4}"/>
            </a:ext>
            <a:ext uri="{147F2762-F138-4A5C-976F-8EAC2B608ADB}">
              <a16:predDERef xmlns:a16="http://schemas.microsoft.com/office/drawing/2014/main" pred="{6C0276BC-7787-4990-9C0D-23974E000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476250</xdr:colOff>
      <xdr:row>42</xdr:row>
      <xdr:rowOff>179613</xdr:rowOff>
    </xdr:from>
    <xdr:to>
      <xdr:col>24</xdr:col>
      <xdr:colOff>108857</xdr:colOff>
      <xdr:row>64</xdr:row>
      <xdr:rowOff>108857</xdr:rowOff>
    </xdr:to>
    <xdr:graphicFrame macro="">
      <xdr:nvGraphicFramePr>
        <xdr:cNvPr id="2" name="Chart 1">
          <a:extLst>
            <a:ext uri="{FF2B5EF4-FFF2-40B4-BE49-F238E27FC236}">
              <a16:creationId xmlns:a16="http://schemas.microsoft.com/office/drawing/2014/main" id="{4059C5FA-4FE2-985E-95C6-82A49DEF6C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898072</xdr:colOff>
      <xdr:row>64</xdr:row>
      <xdr:rowOff>68037</xdr:rowOff>
    </xdr:from>
    <xdr:to>
      <xdr:col>9</xdr:col>
      <xdr:colOff>635455</xdr:colOff>
      <xdr:row>87</xdr:row>
      <xdr:rowOff>120426</xdr:rowOff>
    </xdr:to>
    <xdr:graphicFrame macro="">
      <xdr:nvGraphicFramePr>
        <xdr:cNvPr id="7" name="Chart 6">
          <a:extLst>
            <a:ext uri="{FF2B5EF4-FFF2-40B4-BE49-F238E27FC236}">
              <a16:creationId xmlns:a16="http://schemas.microsoft.com/office/drawing/2014/main" id="{C49F38BA-F4B4-4914-A61B-6DB3A1FAB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739115</xdr:colOff>
      <xdr:row>101</xdr:row>
      <xdr:rowOff>97970</xdr:rowOff>
    </xdr:from>
    <xdr:to>
      <xdr:col>17</xdr:col>
      <xdr:colOff>1266825</xdr:colOff>
      <xdr:row>121</xdr:row>
      <xdr:rowOff>190499</xdr:rowOff>
    </xdr:to>
    <xdr:graphicFrame macro="">
      <xdr:nvGraphicFramePr>
        <xdr:cNvPr id="9" name="Chart 8">
          <a:extLst>
            <a:ext uri="{FF2B5EF4-FFF2-40B4-BE49-F238E27FC236}">
              <a16:creationId xmlns:a16="http://schemas.microsoft.com/office/drawing/2014/main" id="{A32B8CA8-3D43-B9F1-487A-84C1DDF17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157716</xdr:colOff>
      <xdr:row>73</xdr:row>
      <xdr:rowOff>111577</xdr:rowOff>
    </xdr:from>
    <xdr:to>
      <xdr:col>38</xdr:col>
      <xdr:colOff>51954</xdr:colOff>
      <xdr:row>102</xdr:row>
      <xdr:rowOff>155864</xdr:rowOff>
    </xdr:to>
    <xdr:graphicFrame macro="">
      <xdr:nvGraphicFramePr>
        <xdr:cNvPr id="10" name="Chart 9">
          <a:extLst>
            <a:ext uri="{FF2B5EF4-FFF2-40B4-BE49-F238E27FC236}">
              <a16:creationId xmlns:a16="http://schemas.microsoft.com/office/drawing/2014/main" id="{29950751-48DB-F70D-BD3A-0BD930C71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161925</xdr:colOff>
      <xdr:row>6</xdr:row>
      <xdr:rowOff>0</xdr:rowOff>
    </xdr:from>
    <xdr:to>
      <xdr:col>6</xdr:col>
      <xdr:colOff>1200150</xdr:colOff>
      <xdr:row>19</xdr:row>
      <xdr:rowOff>47625</xdr:rowOff>
    </xdr:to>
    <mc:AlternateContent xmlns:mc="http://schemas.openxmlformats.org/markup-compatibility/2006" xmlns:a14="http://schemas.microsoft.com/office/drawing/2010/main">
      <mc:Choice Requires="a14">
        <xdr:graphicFrame macro="">
          <xdr:nvGraphicFramePr>
            <xdr:cNvPr id="2" name="Requestor">
              <a:extLst>
                <a:ext uri="{FF2B5EF4-FFF2-40B4-BE49-F238E27FC236}">
                  <a16:creationId xmlns:a16="http://schemas.microsoft.com/office/drawing/2014/main" id="{10DE10E5-6692-A1C8-D187-6C6B204DA137}"/>
                </a:ext>
              </a:extLst>
            </xdr:cNvPr>
            <xdr:cNvGraphicFramePr/>
          </xdr:nvGraphicFramePr>
          <xdr:xfrm>
            <a:off x="0" y="0"/>
            <a:ext cx="0" cy="0"/>
          </xdr:xfrm>
          <a:graphic>
            <a:graphicData uri="http://schemas.microsoft.com/office/drawing/2010/slicer">
              <sle:slicer xmlns:sle="http://schemas.microsoft.com/office/drawing/2010/slicer" name="Requestor"/>
            </a:graphicData>
          </a:graphic>
        </xdr:graphicFrame>
      </mc:Choice>
      <mc:Fallback xmlns="">
        <xdr:sp macro="" textlink="">
          <xdr:nvSpPr>
            <xdr:cNvPr id="0" name=""/>
            <xdr:cNvSpPr>
              <a:spLocks noTextEdit="1"/>
            </xdr:cNvSpPr>
          </xdr:nvSpPr>
          <xdr:spPr>
            <a:xfrm>
              <a:off x="6286500" y="1143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66675</xdr:colOff>
      <xdr:row>5</xdr:row>
      <xdr:rowOff>152400</xdr:rowOff>
    </xdr:from>
    <xdr:to>
      <xdr:col>9</xdr:col>
      <xdr:colOff>628650</xdr:colOff>
      <xdr:row>19</xdr:row>
      <xdr:rowOff>9525</xdr:rowOff>
    </xdr:to>
    <mc:AlternateContent xmlns:mc="http://schemas.openxmlformats.org/markup-compatibility/2006" xmlns:a14="http://schemas.microsoft.com/office/drawing/2010/main">
      <mc:Choice Requires="a14">
        <xdr:graphicFrame macro="">
          <xdr:nvGraphicFramePr>
            <xdr:cNvPr id="3" name="Request Date">
              <a:extLst>
                <a:ext uri="{FF2B5EF4-FFF2-40B4-BE49-F238E27FC236}">
                  <a16:creationId xmlns:a16="http://schemas.microsoft.com/office/drawing/2014/main" id="{B9043D74-F9BF-D4FF-73CA-231CF251F65C}"/>
                </a:ext>
              </a:extLst>
            </xdr:cNvPr>
            <xdr:cNvGraphicFramePr/>
          </xdr:nvGraphicFramePr>
          <xdr:xfrm>
            <a:off x="0" y="0"/>
            <a:ext cx="0" cy="0"/>
          </xdr:xfrm>
          <a:graphic>
            <a:graphicData uri="http://schemas.microsoft.com/office/drawing/2010/slicer">
              <sle:slicer xmlns:sle="http://schemas.microsoft.com/office/drawing/2010/slicer" name="Request Date"/>
            </a:graphicData>
          </a:graphic>
        </xdr:graphicFrame>
      </mc:Choice>
      <mc:Fallback xmlns="">
        <xdr:sp macro="" textlink="">
          <xdr:nvSpPr>
            <xdr:cNvPr id="0" name=""/>
            <xdr:cNvSpPr>
              <a:spLocks noTextEdit="1"/>
            </xdr:cNvSpPr>
          </xdr:nvSpPr>
          <xdr:spPr>
            <a:xfrm>
              <a:off x="8486775" y="1104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495301</xdr:colOff>
      <xdr:row>21</xdr:row>
      <xdr:rowOff>52387</xdr:rowOff>
    </xdr:from>
    <xdr:to>
      <xdr:col>15</xdr:col>
      <xdr:colOff>85725</xdr:colOff>
      <xdr:row>43</xdr:row>
      <xdr:rowOff>9525</xdr:rowOff>
    </xdr:to>
    <xdr:graphicFrame macro="">
      <xdr:nvGraphicFramePr>
        <xdr:cNvPr id="4" name="Chart 3">
          <a:extLst>
            <a:ext uri="{FF2B5EF4-FFF2-40B4-BE49-F238E27FC236}">
              <a16:creationId xmlns:a16="http://schemas.microsoft.com/office/drawing/2014/main" id="{BF266163-0434-7D11-D732-9D0CE888CC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171449</xdr:colOff>
      <xdr:row>47</xdr:row>
      <xdr:rowOff>61912</xdr:rowOff>
    </xdr:from>
    <xdr:to>
      <xdr:col>10</xdr:col>
      <xdr:colOff>581024</xdr:colOff>
      <xdr:row>63</xdr:row>
      <xdr:rowOff>38100</xdr:rowOff>
    </xdr:to>
    <xdr:graphicFrame macro="">
      <xdr:nvGraphicFramePr>
        <xdr:cNvPr id="5" name="Chart 4">
          <a:extLst>
            <a:ext uri="{FF2B5EF4-FFF2-40B4-BE49-F238E27FC236}">
              <a16:creationId xmlns:a16="http://schemas.microsoft.com/office/drawing/2014/main" id="{3BB61497-7935-8440-27E6-D5E6EABED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438150</xdr:colOff>
      <xdr:row>18</xdr:row>
      <xdr:rowOff>23811</xdr:rowOff>
    </xdr:from>
    <xdr:to>
      <xdr:col>30</xdr:col>
      <xdr:colOff>361950</xdr:colOff>
      <xdr:row>34</xdr:row>
      <xdr:rowOff>28574</xdr:rowOff>
    </xdr:to>
    <xdr:graphicFrame macro="">
      <xdr:nvGraphicFramePr>
        <xdr:cNvPr id="7" name="Chart 6">
          <a:extLst>
            <a:ext uri="{FF2B5EF4-FFF2-40B4-BE49-F238E27FC236}">
              <a16:creationId xmlns:a16="http://schemas.microsoft.com/office/drawing/2014/main" id="{2EA013E2-3D8C-48C1-A154-B7B5DBAD7B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John Rinold" id="{59E5FD09-4AC2-4B7C-AF1C-ED61ADF50639}" userId="S::john.r.chinnadorai@cigp.com::ef70c442-a870-4393-bc8d-b70e02d18902"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Rinold" refreshedDate="46050.728514930554" createdVersion="8" refreshedVersion="8" minRefreshableVersion="3" recordCount="243" xr:uid="{D4736BB8-148B-495A-821E-BF214EBCEB99}">
  <cacheSource type="worksheet">
    <worksheetSource ref="A1:F244" sheet="PAD Approvals"/>
  </cacheSource>
  <cacheFields count="8">
    <cacheField name="Requestor" numFmtId="0">
      <sharedItems count="28">
        <s v="Bella Yao"/>
        <s v="Jaya Ramesh Chaliki"/>
        <s v="Jasdeep Sethi"/>
        <s v="Alwyn Show"/>
        <s v="Alberto Pasini"/>
        <s v="Xuan Lam Nguyen Tang"/>
        <s v="Jess Cheung"/>
        <s v="Alexandre Pol"/>
        <s v="William Chan"/>
        <s v="Lluvia Wu"/>
        <s v="Wing Or"/>
        <s v="Julius Chau"/>
        <s v="Abhijith Aravindan"/>
        <s v="Zenobia Lo"/>
        <s v="Yao Wang"/>
        <s v="Guillaume Page"/>
        <s v="Antonio Miguel Velasco"/>
        <s v="Ariel Tang"/>
        <s v="Philippe Herminjard"/>
        <s v="Ian Tjahjadi"/>
        <s v="Benjamin Cheng"/>
        <s v="Nicolas Staerkle"/>
        <s v="Jericho Mesina"/>
        <s v="Nathan Gregori"/>
        <s v="Luca Gentzbourger"/>
        <s v="Sunny Zhao"/>
        <s v="Matthias Lanzoni"/>
        <s v="Alexander Tsikouras"/>
      </sharedItems>
    </cacheField>
    <cacheField name="Request Date" numFmtId="166">
      <sharedItems containsSemiMixedTypes="0" containsNonDate="0" containsDate="1" containsString="0" minDate="2025-01-07T00:00:00" maxDate="2026-01-01T00:00:00" count="115">
        <d v="2025-01-07T00:00:00"/>
        <d v="2025-01-09T00:00:00"/>
        <d v="2025-01-10T00:00:00"/>
        <d v="2025-01-14T00:00:00"/>
        <d v="2025-01-16T00:00:00"/>
        <d v="2025-01-21T00:00:00"/>
        <d v="2025-01-22T00:00:00"/>
        <d v="2025-01-23T00:00:00"/>
        <d v="2025-01-27T00:00:00"/>
        <d v="2025-01-28T00:00:00"/>
        <d v="2025-02-03T00:00:00"/>
        <d v="2025-02-04T00:00:00"/>
        <d v="2025-02-05T00:00:00"/>
        <d v="2025-02-06T00:00:00"/>
        <d v="2025-02-07T00:00:00"/>
        <d v="2025-02-10T00:00:00"/>
        <d v="2025-02-12T00:00:00"/>
        <d v="2025-02-14T00:00:00"/>
        <d v="2025-02-18T00:00:00"/>
        <d v="2025-02-19T00:00:00"/>
        <d v="2025-02-21T00:00:00"/>
        <d v="2025-02-27T00:00:00"/>
        <d v="2025-03-10T00:00:00"/>
        <d v="2025-03-11T00:00:00"/>
        <d v="2025-03-12T00:00:00"/>
        <d v="2025-03-26T00:00:00"/>
        <d v="2025-03-27T00:00:00"/>
        <d v="2025-03-28T00:00:00"/>
        <d v="2025-04-03T00:00:00"/>
        <d v="2025-04-10T00:00:00"/>
        <d v="2025-04-14T00:00:00"/>
        <d v="2025-04-15T00:00:00"/>
        <d v="2025-04-17T00:00:00"/>
        <d v="2025-04-18T00:00:00"/>
        <d v="2025-04-21T00:00:00"/>
        <d v="2025-04-28T00:00:00"/>
        <d v="2025-04-29T00:00:00"/>
        <d v="2025-04-30T00:00:00"/>
        <d v="2025-05-02T00:00:00"/>
        <d v="2025-05-08T00:00:00"/>
        <d v="2025-05-09T00:00:00"/>
        <d v="2025-05-12T00:00:00"/>
        <d v="2025-05-19T00:00:00"/>
        <d v="2025-05-20T00:00:00"/>
        <d v="2025-05-21T00:00:00"/>
        <d v="2025-05-28T00:00:00"/>
        <d v="2025-06-03T00:00:00"/>
        <d v="2025-06-04T00:00:00"/>
        <d v="2025-06-10T00:00:00"/>
        <d v="2025-06-12T00:00:00"/>
        <d v="2025-06-16T00:00:00"/>
        <d v="2025-06-23T00:00:00"/>
        <d v="2025-06-24T00:00:00"/>
        <d v="2025-06-27T00:00:00"/>
        <d v="2025-07-09T00:00:00"/>
        <d v="2025-07-10T00:00:00"/>
        <d v="2025-07-11T00:00:00"/>
        <d v="2025-07-15T00:00:00"/>
        <d v="2025-07-17T00:00:00"/>
        <d v="2025-07-22T00:00:00"/>
        <d v="2025-07-24T00:00:00"/>
        <d v="2025-07-28T00:00:00"/>
        <d v="2025-07-30T00:00:00"/>
        <d v="2025-07-31T00:00:00"/>
        <d v="2025-08-04T00:00:00"/>
        <d v="2025-08-06T00:00:00"/>
        <d v="2025-08-08T00:00:00"/>
        <d v="2025-08-11T00:00:00"/>
        <d v="2025-08-13T00:00:00"/>
        <d v="2025-08-15T00:00:00"/>
        <d v="2025-08-21T00:00:00"/>
        <d v="2025-08-22T00:00:00"/>
        <d v="2025-08-24T00:00:00"/>
        <d v="2025-08-25T00:00:00"/>
        <d v="2025-08-26T00:00:00"/>
        <d v="2025-08-27T00:00:00"/>
        <d v="2025-08-29T00:00:00"/>
        <d v="2025-09-01T00:00:00"/>
        <d v="2025-09-03T00:00:00"/>
        <d v="2025-09-04T00:00:00"/>
        <d v="2025-09-05T00:00:00"/>
        <d v="2025-09-08T00:00:00"/>
        <d v="2025-09-09T00:00:00"/>
        <d v="2025-09-11T00:00:00"/>
        <d v="2025-09-15T00:00:00"/>
        <d v="2025-09-17T00:00:00"/>
        <d v="2025-09-18T00:00:00"/>
        <d v="2025-09-22T00:00:00"/>
        <d v="2025-09-24T00:00:00"/>
        <d v="2025-09-25T00:00:00"/>
        <d v="2025-09-30T00:00:00"/>
        <d v="2025-10-03T00:00:00"/>
        <d v="2025-10-06T00:00:00"/>
        <d v="2025-10-09T00:00:00"/>
        <d v="2025-10-10T00:00:00"/>
        <d v="2025-10-13T00:00:00"/>
        <d v="2025-10-15T00:00:00"/>
        <d v="2025-10-16T00:00:00"/>
        <d v="2025-10-17T00:00:00"/>
        <d v="2025-10-27T00:00:00"/>
        <d v="2025-10-30T00:00:00"/>
        <d v="2025-10-31T00:00:00"/>
        <d v="2025-11-11T00:00:00"/>
        <d v="2025-11-13T00:00:00"/>
        <d v="2025-11-14T00:00:00"/>
        <d v="2025-11-20T00:00:00"/>
        <d v="2025-11-21T00:00:00"/>
        <d v="2025-11-24T00:00:00"/>
        <d v="2025-11-26T00:00:00"/>
        <d v="2025-12-02T00:00:00"/>
        <d v="2025-12-05T00:00:00"/>
        <d v="2025-12-10T00:00:00"/>
        <d v="2025-12-11T00:00:00"/>
        <d v="2025-12-15T00:00:00"/>
        <d v="2025-12-31T00:00:00"/>
      </sharedItems>
      <fieldGroup par="7"/>
    </cacheField>
    <cacheField name="Type" numFmtId="0">
      <sharedItems/>
    </cacheField>
    <cacheField name="Security" numFmtId="0">
      <sharedItems/>
    </cacheField>
    <cacheField name="Quantity" numFmtId="0">
      <sharedItems containsSemiMixedTypes="0" containsString="0" containsNumber="1" minValue="1.5999999595806E-3" maxValue="200000"/>
    </cacheField>
    <cacheField name="Status" numFmtId="0">
      <sharedItems/>
    </cacheField>
    <cacheField name="Days (Request Date)" numFmtId="0" databaseField="0">
      <fieldGroup base="1">
        <rangePr groupBy="days" startDate="2025-01-07T00:00:00" endDate="2026-01-01T00:00:00"/>
        <groupItems count="368">
          <s v="&lt;7/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t"/>
          <s v="2-Sept"/>
          <s v="3-Sept"/>
          <s v="4-Sept"/>
          <s v="5-Sept"/>
          <s v="6-Sept"/>
          <s v="7-Sept"/>
          <s v="8-Sept"/>
          <s v="9-Sept"/>
          <s v="10-Sept"/>
          <s v="11-Sept"/>
          <s v="12-Sept"/>
          <s v="13-Sept"/>
          <s v="14-Sept"/>
          <s v="15-Sept"/>
          <s v="16-Sept"/>
          <s v="17-Sept"/>
          <s v="18-Sept"/>
          <s v="19-Sept"/>
          <s v="20-Sept"/>
          <s v="21-Sept"/>
          <s v="22-Sept"/>
          <s v="23-Sept"/>
          <s v="24-Sept"/>
          <s v="25-Sept"/>
          <s v="26-Sept"/>
          <s v="27-Sept"/>
          <s v="28-Sept"/>
          <s v="29-Sept"/>
          <s v="30-Sept"/>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Request Date)" numFmtId="0" databaseField="0">
      <fieldGroup base="1">
        <rangePr groupBy="months" startDate="2025-01-07T00:00:00" endDate="2026-01-01T00:00:00"/>
        <groupItems count="14">
          <s v="&lt;7/1/2025"/>
          <s v="Jan"/>
          <s v="Feb"/>
          <s v="Mar"/>
          <s v="Apr"/>
          <s v="May"/>
          <s v="Jun"/>
          <s v="Jul"/>
          <s v="Aug"/>
          <s v="Sept"/>
          <s v="Oct"/>
          <s v="Nov"/>
          <s v="Dec"/>
          <s v="&gt;1/1/2026"/>
        </groupItems>
      </fieldGroup>
    </cacheField>
  </cacheFields>
  <extLst>
    <ext xmlns:x14="http://schemas.microsoft.com/office/spreadsheetml/2009/9/main" uri="{725AE2AE-9491-48be-B2B4-4EB974FC3084}">
      <x14:pivotCacheDefinition pivotCacheId="13431585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3">
  <r>
    <x v="0"/>
    <x v="0"/>
    <s v="Sell"/>
    <s v="Foxconn Interconnect Technology Limited"/>
    <n v="9000"/>
    <s v="Approved"/>
  </r>
  <r>
    <x v="1"/>
    <x v="0"/>
    <s v="Buy"/>
    <s v="Apple Inc"/>
    <n v="5"/>
    <s v="Approved"/>
  </r>
  <r>
    <x v="2"/>
    <x v="1"/>
    <s v="Sell"/>
    <s v="Fit Hon Teng"/>
    <n v="20000"/>
    <s v="Approved"/>
  </r>
  <r>
    <x v="1"/>
    <x v="2"/>
    <s v="Buy"/>
    <s v="Amazon.com Inc"/>
    <n v="5"/>
    <s v="Approved"/>
  </r>
  <r>
    <x v="3"/>
    <x v="3"/>
    <s v="Buy"/>
    <s v="NVIDIA Corp"/>
    <n v="30"/>
    <s v="Approved"/>
  </r>
  <r>
    <x v="3"/>
    <x v="4"/>
    <s v="Buy"/>
    <s v="Richtech Robotics Inc."/>
    <n v="600"/>
    <s v="Rejected"/>
  </r>
  <r>
    <x v="4"/>
    <x v="5"/>
    <s v="Buy"/>
    <s v="Nestle SA"/>
    <n v="200"/>
    <s v="Rejected"/>
  </r>
  <r>
    <x v="4"/>
    <x v="6"/>
    <s v="Buy"/>
    <s v="Nestle SA"/>
    <n v="200"/>
    <s v="Rejected"/>
  </r>
  <r>
    <x v="2"/>
    <x v="6"/>
    <s v="Sell"/>
    <s v="Fit Hon Teng"/>
    <n v="20000"/>
    <s v="Approved"/>
  </r>
  <r>
    <x v="1"/>
    <x v="6"/>
    <s v="Buy"/>
    <s v="Grab Holdings Limited"/>
    <n v="10"/>
    <s v="Approved"/>
  </r>
  <r>
    <x v="1"/>
    <x v="7"/>
    <s v="Buy"/>
    <s v="Novo Nordisk A/S"/>
    <n v="5"/>
    <s v="Approved"/>
  </r>
  <r>
    <x v="3"/>
    <x v="7"/>
    <s v="Buy"/>
    <s v="Richtech Robotics"/>
    <n v="500"/>
    <s v="Approved"/>
  </r>
  <r>
    <x v="3"/>
    <x v="7"/>
    <s v="Buy"/>
    <s v="Archer Aviation Inc."/>
    <n v="500"/>
    <s v="Approved"/>
  </r>
  <r>
    <x v="2"/>
    <x v="8"/>
    <s v="Buy"/>
    <s v="Fit Hon Teng"/>
    <n v="50000"/>
    <s v="Approved"/>
  </r>
  <r>
    <x v="3"/>
    <x v="9"/>
    <s v="Buy"/>
    <s v="NVIDIA Corp"/>
    <n v="100"/>
    <s v="Approved"/>
  </r>
  <r>
    <x v="3"/>
    <x v="9"/>
    <s v="Buy"/>
    <s v="US03945R1023"/>
    <n v="500"/>
    <s v="Approved"/>
  </r>
  <r>
    <x v="3"/>
    <x v="9"/>
    <s v="Buy"/>
    <s v="Richtech Robotics"/>
    <n v="1500"/>
    <s v="Approved"/>
  </r>
  <r>
    <x v="1"/>
    <x v="9"/>
    <s v="Buy"/>
    <s v="Alphabet Inc - Class C"/>
    <n v="5"/>
    <s v="Approved"/>
  </r>
  <r>
    <x v="1"/>
    <x v="9"/>
    <s v="Buy"/>
    <s v="NVIDIA Corp"/>
    <n v="10"/>
    <s v="Approved"/>
  </r>
  <r>
    <x v="5"/>
    <x v="10"/>
    <s v="Sell"/>
    <s v="Tesla Inc"/>
    <n v="2"/>
    <s v="Approved"/>
  </r>
  <r>
    <x v="5"/>
    <x v="10"/>
    <s v="Sell"/>
    <s v="Sea Ltd - ADR"/>
    <n v="20"/>
    <s v="Approved"/>
  </r>
  <r>
    <x v="5"/>
    <x v="10"/>
    <s v="Sell"/>
    <s v="Intuitive Surgical INC"/>
    <n v="10"/>
    <s v="Approved"/>
  </r>
  <r>
    <x v="5"/>
    <x v="10"/>
    <s v="Sell"/>
    <s v="US0231351067"/>
    <n v="30"/>
    <s v="Approved"/>
  </r>
  <r>
    <x v="4"/>
    <x v="11"/>
    <s v="Sell"/>
    <s v="iShares MSCI World CHF Hedged UCITS ETF (Acc)"/>
    <n v="406"/>
    <s v="Approved"/>
  </r>
  <r>
    <x v="4"/>
    <x v="11"/>
    <s v="Sell"/>
    <s v="6.4% Metlife 15.12.2036 Subordinated"/>
    <n v="30000"/>
    <s v="Approved"/>
  </r>
  <r>
    <x v="1"/>
    <x v="12"/>
    <s v="Buy"/>
    <s v="Apple Inc"/>
    <n v="3"/>
    <s v="Approved"/>
  </r>
  <r>
    <x v="1"/>
    <x v="12"/>
    <s v="Buy"/>
    <s v="Alphabet Inc - Class C"/>
    <n v="3"/>
    <s v="Approved"/>
  </r>
  <r>
    <x v="1"/>
    <x v="13"/>
    <s v="Buy"/>
    <s v="Grab Holdings Limited"/>
    <n v="60"/>
    <s v="Approved"/>
  </r>
  <r>
    <x v="1"/>
    <x v="13"/>
    <s v="Buy"/>
    <s v="Uber Technologies Inc"/>
    <n v="10"/>
    <s v="Approved"/>
  </r>
  <r>
    <x v="4"/>
    <x v="14"/>
    <s v="Buy"/>
    <s v="ServiceNow, Inc."/>
    <n v="10"/>
    <s v="Approved"/>
  </r>
  <r>
    <x v="4"/>
    <x v="14"/>
    <s v="Sell"/>
    <s v="CrowdStrike Holdings Inc -A"/>
    <n v="25"/>
    <s v="Approved"/>
  </r>
  <r>
    <x v="6"/>
    <x v="15"/>
    <s v="Sell"/>
    <s v="AIA Group Limited"/>
    <n v="200"/>
    <s v="Approved"/>
  </r>
  <r>
    <x v="6"/>
    <x v="15"/>
    <s v="Sell"/>
    <s v="02616"/>
    <n v="500"/>
    <s v="Approved"/>
  </r>
  <r>
    <x v="1"/>
    <x v="15"/>
    <s v="Buy"/>
    <s v="QUALCOMM Incorporated"/>
    <n v="5"/>
    <s v="Approved"/>
  </r>
  <r>
    <x v="7"/>
    <x v="15"/>
    <s v="Sell"/>
    <s v="Societe Generale SA"/>
    <n v="300"/>
    <s v="Approved"/>
  </r>
  <r>
    <x v="8"/>
    <x v="16"/>
    <s v="Sell"/>
    <s v="Society Pass Incorporated"/>
    <n v="6"/>
    <s v="Approved"/>
  </r>
  <r>
    <x v="1"/>
    <x v="17"/>
    <s v="Buy"/>
    <s v="Novo Nordisk A/S - ADR"/>
    <n v="5"/>
    <s v="Approved"/>
  </r>
  <r>
    <x v="3"/>
    <x v="18"/>
    <s v="Buy"/>
    <s v="Bigbear.ai Holdings"/>
    <n v="500"/>
    <s v="Approved"/>
  </r>
  <r>
    <x v="3"/>
    <x v="18"/>
    <s v="Buy"/>
    <s v="Grab Holdings Ltd"/>
    <n v="1000"/>
    <s v="Approved"/>
  </r>
  <r>
    <x v="2"/>
    <x v="19"/>
    <s v="Sell"/>
    <s v="XTALPI"/>
    <n v="8000"/>
    <s v="Approved"/>
  </r>
  <r>
    <x v="2"/>
    <x v="19"/>
    <s v="Sell"/>
    <s v="XTALPI"/>
    <n v="21000"/>
    <s v="Approved"/>
  </r>
  <r>
    <x v="2"/>
    <x v="20"/>
    <s v="Buy"/>
    <s v="3SBio Inc."/>
    <n v="20000"/>
    <s v="Approved"/>
  </r>
  <r>
    <x v="9"/>
    <x v="21"/>
    <s v="Buy"/>
    <s v="KINGBOARD LAMINATES HOLDINGS LIMITED"/>
    <n v="2000"/>
    <s v="Approved"/>
  </r>
  <r>
    <x v="4"/>
    <x v="22"/>
    <s v="Buy"/>
    <s v="Invesco QQQ Trust ETF - USD"/>
    <n v="1"/>
    <s v="Rejected"/>
  </r>
  <r>
    <x v="1"/>
    <x v="22"/>
    <s v="Buy"/>
    <s v="Alphabet Inc - Class C"/>
    <n v="2"/>
    <s v="Approved"/>
  </r>
  <r>
    <x v="1"/>
    <x v="22"/>
    <s v="Buy"/>
    <s v="NVIDIA Corp"/>
    <n v="5"/>
    <s v="Approved"/>
  </r>
  <r>
    <x v="10"/>
    <x v="22"/>
    <s v="Buy"/>
    <s v="Microsoft Corp"/>
    <n v="10"/>
    <s v="Approved"/>
  </r>
  <r>
    <x v="10"/>
    <x v="23"/>
    <s v="Buy"/>
    <s v="Novo Nordisk A/S - ADR"/>
    <n v="20"/>
    <s v="Approved"/>
  </r>
  <r>
    <x v="1"/>
    <x v="24"/>
    <s v="Buy"/>
    <s v="Novo Nordisk A/S - ADR"/>
    <n v="4"/>
    <s v="Approved"/>
  </r>
  <r>
    <x v="2"/>
    <x v="25"/>
    <s v="Sell"/>
    <s v="3SBIo Inc."/>
    <n v="10000"/>
    <s v="Approved"/>
  </r>
  <r>
    <x v="2"/>
    <x v="26"/>
    <s v="Buy"/>
    <s v="Hygeia Health"/>
    <n v="10000"/>
    <s v="Approved"/>
  </r>
  <r>
    <x v="11"/>
    <x v="27"/>
    <s v="Buy"/>
    <s v="JPMorgan Chase &amp; Co_x000d__x000a_NYSE: JPM"/>
    <n v="10"/>
    <s v="Rejected"/>
  </r>
  <r>
    <x v="10"/>
    <x v="27"/>
    <s v="Buy"/>
    <s v="Novo Nordisk A/S - ADR"/>
    <n v="20"/>
    <s v="Rejected"/>
  </r>
  <r>
    <x v="10"/>
    <x v="27"/>
    <s v="Buy"/>
    <s v="NIKE INC -CL B"/>
    <n v="5"/>
    <s v="Rejected"/>
  </r>
  <r>
    <x v="10"/>
    <x v="27"/>
    <s v="Buy"/>
    <s v="NIKE INC -CL B"/>
    <n v="5"/>
    <s v="Rejected"/>
  </r>
  <r>
    <x v="10"/>
    <x v="28"/>
    <s v="Buy"/>
    <s v="Novo nordisk"/>
    <n v="10"/>
    <s v="Approved"/>
  </r>
  <r>
    <x v="10"/>
    <x v="28"/>
    <s v="Buy"/>
    <s v="NIKE INC -CL B"/>
    <n v="10"/>
    <s v="Approved"/>
  </r>
  <r>
    <x v="10"/>
    <x v="28"/>
    <s v="Buy"/>
    <s v="Lululemon Athletica Inc"/>
    <n v="10"/>
    <s v="Approved"/>
  </r>
  <r>
    <x v="9"/>
    <x v="29"/>
    <s v="Sell"/>
    <s v="1385.HK"/>
    <n v="1000"/>
    <s v="Approved"/>
  </r>
  <r>
    <x v="12"/>
    <x v="30"/>
    <s v="Buy"/>
    <s v="ALPHABET INC-CL A"/>
    <n v="1"/>
    <s v="Approved"/>
  </r>
  <r>
    <x v="12"/>
    <x v="30"/>
    <s v="Buy"/>
    <s v="Amazon.com Inc"/>
    <n v="1"/>
    <s v="Rejected"/>
  </r>
  <r>
    <x v="12"/>
    <x v="30"/>
    <s v="Buy"/>
    <s v="NASDAQ: QQQM"/>
    <n v="1"/>
    <s v="Rejected"/>
  </r>
  <r>
    <x v="11"/>
    <x v="31"/>
    <s v="Buy"/>
    <s v="JPMorgan Chase &amp; Co NYSE: JPM"/>
    <n v="10"/>
    <s v="Approved"/>
  </r>
  <r>
    <x v="1"/>
    <x v="32"/>
    <s v="Buy"/>
    <s v="Hims &amp; Hers Health, Inc"/>
    <n v="40"/>
    <s v="Approved"/>
  </r>
  <r>
    <x v="1"/>
    <x v="33"/>
    <s v="Buy"/>
    <s v="QUALCOMM Incorporated"/>
    <n v="3"/>
    <s v="Rejected"/>
  </r>
  <r>
    <x v="1"/>
    <x v="33"/>
    <s v="Buy"/>
    <s v="Novo Nordisk A/S - ADR"/>
    <n v="7"/>
    <s v="Approved"/>
  </r>
  <r>
    <x v="1"/>
    <x v="33"/>
    <s v="Buy"/>
    <s v="Alphabet Inc - Class C"/>
    <n v="2"/>
    <s v="Approved"/>
  </r>
  <r>
    <x v="1"/>
    <x v="33"/>
    <s v="Buy"/>
    <s v="Apple Inc"/>
    <n v="2"/>
    <s v="Approved"/>
  </r>
  <r>
    <x v="1"/>
    <x v="33"/>
    <s v="Buy"/>
    <s v="Amazon.com Inc"/>
    <n v="5"/>
    <s v="Approved"/>
  </r>
  <r>
    <x v="1"/>
    <x v="33"/>
    <s v="Buy"/>
    <s v="Grab Holdings Ltd - Class A"/>
    <n v="50"/>
    <s v="Approved"/>
  </r>
  <r>
    <x v="1"/>
    <x v="33"/>
    <s v="Buy"/>
    <s v="NVIDIA Corp"/>
    <n v="5"/>
    <s v="Approved"/>
  </r>
  <r>
    <x v="1"/>
    <x v="33"/>
    <s v="Buy"/>
    <s v="Taiwan Semiconductor Manufacturing Co Ltd - ADR"/>
    <n v="8"/>
    <s v="Rejected"/>
  </r>
  <r>
    <x v="12"/>
    <x v="34"/>
    <s v="Buy"/>
    <s v="Schwab US Dividend Equity ETF"/>
    <n v="2"/>
    <s v="Approved"/>
  </r>
  <r>
    <x v="13"/>
    <x v="35"/>
    <s v="Buy"/>
    <s v="Apple"/>
    <n v="100"/>
    <s v="Rejected"/>
  </r>
  <r>
    <x v="1"/>
    <x v="36"/>
    <s v="Buy"/>
    <s v="American Express Co"/>
    <n v="5"/>
    <s v="Approved"/>
  </r>
  <r>
    <x v="1"/>
    <x v="36"/>
    <s v="Buy"/>
    <s v="Berkshire Hathaway Inc - Class B"/>
    <n v="1"/>
    <s v="Approved"/>
  </r>
  <r>
    <x v="12"/>
    <x v="37"/>
    <s v="Buy"/>
    <s v="HSBC Global Equity Index Fund (CLASS HC-HKD-ACC)"/>
    <n v="30"/>
    <s v="Rejected"/>
  </r>
  <r>
    <x v="1"/>
    <x v="38"/>
    <s v="Sell"/>
    <s v="The India Internet ETF"/>
    <n v="60"/>
    <s v="Approved"/>
  </r>
  <r>
    <x v="1"/>
    <x v="38"/>
    <s v="Buy"/>
    <s v="QUALCOMM Incorporated"/>
    <n v="5"/>
    <s v="Approved"/>
  </r>
  <r>
    <x v="1"/>
    <x v="39"/>
    <s v="Buy"/>
    <s v="Alphabet Inc - Class C"/>
    <n v="3"/>
    <s v="Approved"/>
  </r>
  <r>
    <x v="12"/>
    <x v="40"/>
    <s v="Buy"/>
    <s v="HSBC US Equity Index Fund (CLASS HC-HKD-ACC) U50009"/>
    <n v="20"/>
    <s v="Approved"/>
  </r>
  <r>
    <x v="14"/>
    <x v="41"/>
    <s v="Sell"/>
    <s v="TRACKER FUND OF HONG KONG"/>
    <n v="1500"/>
    <s v="Rejected"/>
  </r>
  <r>
    <x v="14"/>
    <x v="41"/>
    <s v="Sell"/>
    <s v="INVESCO GOLDEN DRAGON CHINA"/>
    <n v="80"/>
    <s v="Approved"/>
  </r>
  <r>
    <x v="14"/>
    <x v="41"/>
    <s v="Sell"/>
    <s v="KRANESHARES MSCI CHINA CLEAN"/>
    <n v="106"/>
    <s v="Approved"/>
  </r>
  <r>
    <x v="14"/>
    <x v="41"/>
    <s v="Sell"/>
    <s v="US Global Jets ETF - USD Dist"/>
    <n v="15"/>
    <s v="Rejected"/>
  </r>
  <r>
    <x v="14"/>
    <x v="41"/>
    <s v="Sell"/>
    <s v="ARK NEXT GENERATION INT ETF"/>
    <n v="12"/>
    <s v="Rejected"/>
  </r>
  <r>
    <x v="10"/>
    <x v="42"/>
    <s v="Sell"/>
    <s v="Microsoft Corp"/>
    <n v="10"/>
    <s v="Pending Approval"/>
  </r>
  <r>
    <x v="12"/>
    <x v="42"/>
    <s v="Sell"/>
    <s v="Tesla Inc"/>
    <n v="1"/>
    <s v="Approved"/>
  </r>
  <r>
    <x v="1"/>
    <x v="43"/>
    <s v="Buy"/>
    <s v="Novo Nordisk A/S - ADR"/>
    <n v="10"/>
    <s v="Approved"/>
  </r>
  <r>
    <x v="10"/>
    <x v="44"/>
    <s v="Sell"/>
    <s v="Microsoft Corp"/>
    <n v="10"/>
    <s v="Approved"/>
  </r>
  <r>
    <x v="15"/>
    <x v="45"/>
    <s v="Sell"/>
    <s v="Diversified Growth Company SICAV"/>
    <n v="500"/>
    <s v="Approved"/>
  </r>
  <r>
    <x v="16"/>
    <x v="46"/>
    <s v="Sell"/>
    <s v="interactive brokers"/>
    <n v="1.5999999595806E-3"/>
    <s v="Approved"/>
  </r>
  <r>
    <x v="9"/>
    <x v="47"/>
    <s v="Buy"/>
    <s v="Chow Sang Sang"/>
    <n v="3000"/>
    <s v="Approved"/>
  </r>
  <r>
    <x v="9"/>
    <x v="47"/>
    <s v="Sell"/>
    <s v="Zijin Mining"/>
    <n v="2000"/>
    <s v="Approved"/>
  </r>
  <r>
    <x v="12"/>
    <x v="48"/>
    <s v="Buy"/>
    <s v="HSBC US Equity Index Fund (CLASS HC-HKD-ACC) U50009"/>
    <n v="20"/>
    <s v="Approved"/>
  </r>
  <r>
    <x v="10"/>
    <x v="49"/>
    <s v="Buy"/>
    <s v="UnitedHealth Group Incorporated"/>
    <n v="10"/>
    <s v="Approved"/>
  </r>
  <r>
    <x v="10"/>
    <x v="49"/>
    <s v="Buy"/>
    <s v="Lululemon Athletica Inc"/>
    <n v="10"/>
    <s v="Approved"/>
  </r>
  <r>
    <x v="15"/>
    <x v="50"/>
    <s v="Buy"/>
    <s v="21Shares Sui Staking ETP"/>
    <n v="230"/>
    <s v="Approved"/>
  </r>
  <r>
    <x v="17"/>
    <x v="51"/>
    <s v="Sell"/>
    <s v="03968"/>
    <n v="1500"/>
    <s v="Approved"/>
  </r>
  <r>
    <x v="18"/>
    <x v="52"/>
    <s v="Sell"/>
    <s v="Swatch Group Ltd. Bearer"/>
    <n v="110"/>
    <s v="Approved"/>
  </r>
  <r>
    <x v="10"/>
    <x v="53"/>
    <s v="Buy"/>
    <s v="Lululemon Athletica Inc"/>
    <n v="10"/>
    <s v="Approved"/>
  </r>
  <r>
    <x v="12"/>
    <x v="54"/>
    <s v="Sell"/>
    <s v="J&amp;T Express-W"/>
    <n v="1000"/>
    <s v="Approved"/>
  </r>
  <r>
    <x v="12"/>
    <x v="55"/>
    <s v="Buy"/>
    <s v="HSBC US Equity Index Fund (CLASS HC-HKD-ACC) U50009"/>
    <n v="20"/>
    <s v="Approved"/>
  </r>
  <r>
    <x v="0"/>
    <x v="56"/>
    <s v="Sell"/>
    <s v="Xiaomi Corp"/>
    <n v="400"/>
    <s v="Approved"/>
  </r>
  <r>
    <x v="17"/>
    <x v="57"/>
    <s v="Buy"/>
    <s v="JD"/>
    <n v="800"/>
    <s v="Approved"/>
  </r>
  <r>
    <x v="11"/>
    <x v="58"/>
    <s v="Buy"/>
    <s v="ASML Holding NV - ADR"/>
    <n v="1"/>
    <s v="Rejected"/>
  </r>
  <r>
    <x v="2"/>
    <x v="58"/>
    <s v="Buy"/>
    <s v="Lens"/>
    <n v="7500"/>
    <s v="Approved"/>
  </r>
  <r>
    <x v="2"/>
    <x v="58"/>
    <s v="Sell"/>
    <s v="Hygeia Healthcare Holdings"/>
    <n v="7200"/>
    <s v="Approved"/>
  </r>
  <r>
    <x v="2"/>
    <x v="58"/>
    <s v="Buy"/>
    <s v="Viva Biotech Holdings"/>
    <n v="150000"/>
    <s v="Approved"/>
  </r>
  <r>
    <x v="2"/>
    <x v="58"/>
    <s v="Buy"/>
    <s v="Lens Technology"/>
    <n v="10000"/>
    <s v="Approved"/>
  </r>
  <r>
    <x v="2"/>
    <x v="58"/>
    <s v="Sell"/>
    <s v="China Tower Corporation ltd"/>
    <n v="800"/>
    <s v="Approved"/>
  </r>
  <r>
    <x v="2"/>
    <x v="58"/>
    <s v="Sell"/>
    <s v="Sunny Optical Technology Group Co Ltd"/>
    <n v="400"/>
    <s v="Approved"/>
  </r>
  <r>
    <x v="2"/>
    <x v="58"/>
    <s v="Sell"/>
    <s v="Fit Hon Teng"/>
    <n v="20000"/>
    <s v="Approved"/>
  </r>
  <r>
    <x v="2"/>
    <x v="58"/>
    <s v="Sell"/>
    <s v="China Ruyi"/>
    <n v="28000"/>
    <s v="Approved"/>
  </r>
  <r>
    <x v="17"/>
    <x v="59"/>
    <s v="Buy"/>
    <s v="HSBC Holdings plc"/>
    <n v="1500"/>
    <s v="Approved"/>
  </r>
  <r>
    <x v="11"/>
    <x v="60"/>
    <s v="Buy"/>
    <s v="ASML Holding NV - ADR"/>
    <n v="1"/>
    <s v="Approved"/>
  </r>
  <r>
    <x v="19"/>
    <x v="60"/>
    <s v="Buy"/>
    <s v="Wells Fargo &amp; Company"/>
    <n v="3"/>
    <s v="Approved"/>
  </r>
  <r>
    <x v="19"/>
    <x v="60"/>
    <s v="Buy"/>
    <s v="HHH"/>
    <n v="4"/>
    <s v="Approved"/>
  </r>
  <r>
    <x v="18"/>
    <x v="61"/>
    <s v="Sell"/>
    <s v="ubs group"/>
    <n v="774"/>
    <s v="Approved"/>
  </r>
  <r>
    <x v="17"/>
    <x v="62"/>
    <s v="Buy"/>
    <s v="NWG 3.985 05/13/36"/>
    <n v="100000"/>
    <s v="Approved"/>
  </r>
  <r>
    <x v="2"/>
    <x v="62"/>
    <s v="Buy"/>
    <s v="Viva Biotech Holdings"/>
    <n v="50000"/>
    <s v="Approved"/>
  </r>
  <r>
    <x v="10"/>
    <x v="62"/>
    <s v="Buy"/>
    <s v="Novo Nordisk A/S - ADR"/>
    <n v="50"/>
    <s v="Approved"/>
  </r>
  <r>
    <x v="8"/>
    <x v="62"/>
    <s v="Buy"/>
    <s v="US9229083632"/>
    <n v="5"/>
    <s v="Rejected"/>
  </r>
  <r>
    <x v="17"/>
    <x v="63"/>
    <s v="Sell"/>
    <s v="MicroPort MedBot (Group) Co., Ltd"/>
    <n v="1500"/>
    <s v="Approved"/>
  </r>
  <r>
    <x v="10"/>
    <x v="63"/>
    <s v="Buy"/>
    <s v="Lululemon Athletica Inc"/>
    <n v="20"/>
    <s v="Approved"/>
  </r>
  <r>
    <x v="9"/>
    <x v="64"/>
    <s v="Buy"/>
    <s v="Chifeng Gold"/>
    <n v="1200"/>
    <s v="Approved"/>
  </r>
  <r>
    <x v="2"/>
    <x v="64"/>
    <s v="Buy"/>
    <s v="Sanergy Group Rights"/>
    <n v="50000"/>
    <s v="Approved"/>
  </r>
  <r>
    <x v="20"/>
    <x v="65"/>
    <s v="Sell"/>
    <s v="Okta, Inc"/>
    <n v="10"/>
    <s v="Approved"/>
  </r>
  <r>
    <x v="20"/>
    <x v="65"/>
    <s v="Sell"/>
    <s v="Globant S.A."/>
    <n v="10"/>
    <s v="Approved"/>
  </r>
  <r>
    <x v="20"/>
    <x v="65"/>
    <s v="Sell"/>
    <s v="The Estee Lauder Companies Inc"/>
    <n v="10"/>
    <s v="Approved"/>
  </r>
  <r>
    <x v="20"/>
    <x v="65"/>
    <s v="Sell"/>
    <s v="Salesforce Inc"/>
    <n v="4"/>
    <s v="Approved"/>
  </r>
  <r>
    <x v="20"/>
    <x v="65"/>
    <s v="Sell"/>
    <s v="Datadog Inc - Class A"/>
    <n v="10"/>
    <s v="Approved"/>
  </r>
  <r>
    <x v="20"/>
    <x v="65"/>
    <s v="Sell"/>
    <s v="Advanced Micro Devices Inc"/>
    <n v="10"/>
    <s v="Approved"/>
  </r>
  <r>
    <x v="9"/>
    <x v="66"/>
    <s v="Buy"/>
    <s v="Semiconductor Manufacturing International Corporation"/>
    <n v="1000"/>
    <s v="Approved"/>
  </r>
  <r>
    <x v="12"/>
    <x v="67"/>
    <s v="Buy"/>
    <s v="HSBC US Equity Index Fund (CLASS HC-HKD-ACC) U50009"/>
    <n v="20"/>
    <s v="Approved"/>
  </r>
  <r>
    <x v="12"/>
    <x v="67"/>
    <s v="Buy"/>
    <s v="HSBC US Equity Index Fund (CLASS HC-HKD-ACC) U50009"/>
    <n v="20"/>
    <s v="Rejected"/>
  </r>
  <r>
    <x v="15"/>
    <x v="68"/>
    <s v="Buy"/>
    <s v="BigBear.ai, Inc"/>
    <n v="161"/>
    <s v="Approved"/>
  </r>
  <r>
    <x v="9"/>
    <x v="69"/>
    <s v="Sell"/>
    <s v="KINGBOARD LAMINATES HOLDINGS LTD."/>
    <n v="2000"/>
    <s v="Approved"/>
  </r>
  <r>
    <x v="17"/>
    <x v="69"/>
    <s v="Buy"/>
    <s v="GANFENGLITHIUM (01772)"/>
    <n v="8000"/>
    <s v="Approved"/>
  </r>
  <r>
    <x v="2"/>
    <x v="69"/>
    <s v="Buy"/>
    <s v="CHINA TOWER CORP LTD - H"/>
    <n v="800"/>
    <s v="Approved"/>
  </r>
  <r>
    <x v="2"/>
    <x v="69"/>
    <s v="Sell"/>
    <s v="Sunny Optical Technology Group Co Ltd"/>
    <n v="2382"/>
    <s v="Rejected"/>
  </r>
  <r>
    <x v="2"/>
    <x v="69"/>
    <s v="Sell"/>
    <s v="China Ruyi"/>
    <n v="28000"/>
    <s v="Approved"/>
  </r>
  <r>
    <x v="2"/>
    <x v="69"/>
    <s v="Sell"/>
    <s v="Xtalpi"/>
    <n v="21000"/>
    <s v="Approved"/>
  </r>
  <r>
    <x v="2"/>
    <x v="69"/>
    <s v="Sell"/>
    <s v="Fit Hon Teng"/>
    <n v="20000"/>
    <s v="Approved"/>
  </r>
  <r>
    <x v="8"/>
    <x v="70"/>
    <s v="Buy"/>
    <s v="Global X HSCEI Components Covered Call Active ETF"/>
    <n v="1000"/>
    <s v="Approved"/>
  </r>
  <r>
    <x v="9"/>
    <x v="71"/>
    <s v="Sell"/>
    <s v="Nongfu Spring Co., Ltd."/>
    <n v="400"/>
    <s v="Approved"/>
  </r>
  <r>
    <x v="9"/>
    <x v="71"/>
    <s v="Sell"/>
    <s v="Chou Sang Sang"/>
    <n v="3000"/>
    <s v="Approved"/>
  </r>
  <r>
    <x v="2"/>
    <x v="72"/>
    <s v="Sell"/>
    <s v="China Ruyi"/>
    <n v="28000"/>
    <s v="Approved"/>
  </r>
  <r>
    <x v="2"/>
    <x v="72"/>
    <s v="Sell"/>
    <s v="Sunny Optical Technology Group Co Ltd"/>
    <n v="800"/>
    <s v="Rejected"/>
  </r>
  <r>
    <x v="2"/>
    <x v="72"/>
    <s v="Sell"/>
    <s v="Xtalpi"/>
    <n v="21000"/>
    <s v="Approved"/>
  </r>
  <r>
    <x v="2"/>
    <x v="72"/>
    <s v="Sell"/>
    <s v="Fit Hon Teng"/>
    <n v="20000"/>
    <s v="Approved"/>
  </r>
  <r>
    <x v="13"/>
    <x v="73"/>
    <s v="Sell"/>
    <s v="Dongfeng Group"/>
    <n v="5000"/>
    <s v="Rejected"/>
  </r>
  <r>
    <x v="17"/>
    <x v="73"/>
    <s v="Buy"/>
    <s v="tsingtao brew"/>
    <n v="4000"/>
    <s v="Approved"/>
  </r>
  <r>
    <x v="13"/>
    <x v="74"/>
    <s v="Sell"/>
    <s v="Dongfeng Group"/>
    <n v="4000"/>
    <s v="Approved"/>
  </r>
  <r>
    <x v="2"/>
    <x v="74"/>
    <s v="Buy"/>
    <s v="SenseTime Group"/>
    <n v="100000"/>
    <s v="Approved"/>
  </r>
  <r>
    <x v="8"/>
    <x v="75"/>
    <s v="Buy"/>
    <s v="Global X HSCEI Components Covered Call Active ETF"/>
    <n v="1000"/>
    <s v="Approved"/>
  </r>
  <r>
    <x v="2"/>
    <x v="76"/>
    <s v="Sell"/>
    <s v="Fit Hon Teng"/>
    <n v="20000"/>
    <s v="Approved"/>
  </r>
  <r>
    <x v="17"/>
    <x v="77"/>
    <s v="Sell"/>
    <s v="China Film Group Co Ltd"/>
    <n v="3600"/>
    <s v="Approved"/>
  </r>
  <r>
    <x v="21"/>
    <x v="78"/>
    <s v="Buy"/>
    <s v="Sprott Uranium Miners ETF"/>
    <n v="100"/>
    <s v="Rejected"/>
  </r>
  <r>
    <x v="21"/>
    <x v="78"/>
    <s v="Buy"/>
    <s v="Covale Swiss Opportunities I CHF"/>
    <n v="60"/>
    <s v="Approved"/>
  </r>
  <r>
    <x v="21"/>
    <x v="78"/>
    <s v="Sell"/>
    <s v="Fundsmith SICAV-Fundsmith Equity USD I Acc"/>
    <n v="139.44000244140599"/>
    <s v="Rejected"/>
  </r>
  <r>
    <x v="21"/>
    <x v="78"/>
    <s v="Sell"/>
    <s v="BGF SWISS SMALL &amp; MIDCAP OPP A2 CHF"/>
    <n v="15"/>
    <s v="Rejected"/>
  </r>
  <r>
    <x v="21"/>
    <x v="78"/>
    <s v="Buy"/>
    <s v="Sprott Uranium Miners ETF"/>
    <n v="50"/>
    <s v="Rejected"/>
  </r>
  <r>
    <x v="21"/>
    <x v="78"/>
    <s v="Buy"/>
    <s v="Covale Swiss Opportunities I CHF"/>
    <n v="60"/>
    <s v="Approved"/>
  </r>
  <r>
    <x v="21"/>
    <x v="78"/>
    <s v="Sell"/>
    <s v="BGF SWISS SMALL &amp; MIDCAP OPP A2 CHF"/>
    <n v="10"/>
    <s v="Rejected"/>
  </r>
  <r>
    <x v="21"/>
    <x v="78"/>
    <s v="Buy"/>
    <s v="Sprott Uranium Miners ETF"/>
    <n v="200"/>
    <s v="Rejected"/>
  </r>
  <r>
    <x v="21"/>
    <x v="78"/>
    <s v="Buy"/>
    <s v="ie000siwgdj9"/>
    <n v="80"/>
    <s v="Approved"/>
  </r>
  <r>
    <x v="21"/>
    <x v="78"/>
    <s v="Sell"/>
    <s v="Fundsmith SICAV-Fundsmith Equity USD I Acc"/>
    <n v="282.16000366210898"/>
    <s v="Rejected"/>
  </r>
  <r>
    <x v="21"/>
    <x v="78"/>
    <s v="Sell"/>
    <s v="BGF SWISS SMALL &amp; MIDCAP OPP A2 CHF"/>
    <n v="20"/>
    <s v="Rejected"/>
  </r>
  <r>
    <x v="17"/>
    <x v="78"/>
    <s v="Buy"/>
    <s v="hsbc holding"/>
    <n v="2000"/>
    <s v="Approved"/>
  </r>
  <r>
    <x v="21"/>
    <x v="79"/>
    <s v="Sell"/>
    <s v="BGF Swiss Small &amp; MidCap Opp A2 CHF"/>
    <n v="55"/>
    <s v="Rejected"/>
  </r>
  <r>
    <x v="21"/>
    <x v="79"/>
    <s v="Buy"/>
    <s v="Sprott Uranium Miners ETF"/>
    <n v="350"/>
    <s v="Rejected"/>
  </r>
  <r>
    <x v="21"/>
    <x v="79"/>
    <s v="Sell"/>
    <s v="Fundsmith SICAV - Fundsmith Equity Fund - USD"/>
    <n v="421.60000610351602"/>
    <s v="Approved"/>
  </r>
  <r>
    <x v="14"/>
    <x v="80"/>
    <s v="Buy"/>
    <s v="Alibaba Health Information Technology Ltd"/>
    <n v="4000"/>
    <s v="Approved"/>
  </r>
  <r>
    <x v="9"/>
    <x v="80"/>
    <s v="Sell"/>
    <s v="Chifeng Gold"/>
    <n v="800"/>
    <s v="Approved"/>
  </r>
  <r>
    <x v="17"/>
    <x v="81"/>
    <s v="Buy"/>
    <s v="XD INC"/>
    <n v="3000"/>
    <s v="Approved"/>
  </r>
  <r>
    <x v="17"/>
    <x v="81"/>
    <s v="Sell"/>
    <s v="WuXi AppTec Co"/>
    <n v="800"/>
    <s v="Approved"/>
  </r>
  <r>
    <x v="2"/>
    <x v="81"/>
    <s v="Sell"/>
    <s v="Viva Biotech"/>
    <n v="50000"/>
    <s v="Approved"/>
  </r>
  <r>
    <x v="22"/>
    <x v="81"/>
    <s v="Sell"/>
    <s v="Baidu Inc - Class A"/>
    <n v="300"/>
    <s v="Approved"/>
  </r>
  <r>
    <x v="17"/>
    <x v="82"/>
    <s v="Buy"/>
    <s v="Mitsubishi UFJ Financial Group, 6.35% Perp"/>
    <n v="200000"/>
    <s v="Approved"/>
  </r>
  <r>
    <x v="17"/>
    <x v="83"/>
    <s v="Sell"/>
    <s v="iShares Hang Seng Tech ETF - HKD"/>
    <n v="21600"/>
    <s v="Rejected"/>
  </r>
  <r>
    <x v="2"/>
    <x v="84"/>
    <s v="Sell"/>
    <s v="Viva Biotech"/>
    <n v="50000"/>
    <s v="Approved"/>
  </r>
  <r>
    <x v="2"/>
    <x v="85"/>
    <s v="Sell"/>
    <s v="Lens"/>
    <n v="5200"/>
    <s v="Approved"/>
  </r>
  <r>
    <x v="17"/>
    <x v="85"/>
    <s v="Buy"/>
    <s v="Mitsubishi UFJ Financial Group, 6.35% Perp"/>
    <n v="200000"/>
    <s v="Approved"/>
  </r>
  <r>
    <x v="17"/>
    <x v="85"/>
    <s v="Buy"/>
    <s v="JD"/>
    <n v="5000"/>
    <s v="Approved"/>
  </r>
  <r>
    <x v="17"/>
    <x v="85"/>
    <s v="Sell"/>
    <s v="WUXI APPTEC"/>
    <n v="1600"/>
    <s v="Approved"/>
  </r>
  <r>
    <x v="17"/>
    <x v="85"/>
    <s v="Sell"/>
    <s v="BABA-W"/>
    <n v="1000"/>
    <s v="Rejected"/>
  </r>
  <r>
    <x v="23"/>
    <x v="86"/>
    <s v="Sell"/>
    <s v="NVIDIA Corp"/>
    <n v="9"/>
    <s v="Approved"/>
  </r>
  <r>
    <x v="2"/>
    <x v="87"/>
    <s v="Sell"/>
    <s v="Dongfeng Group"/>
    <n v="10000"/>
    <s v="Approved"/>
  </r>
  <r>
    <x v="23"/>
    <x v="88"/>
    <s v="Sell"/>
    <s v="Advanced Micro Devices Inc"/>
    <n v="0.15613999962806699"/>
    <s v="Approved"/>
  </r>
  <r>
    <x v="23"/>
    <x v="88"/>
    <s v="Sell"/>
    <s v="Alphabet Inc - Class A"/>
    <n v="3"/>
    <s v="Approved"/>
  </r>
  <r>
    <x v="17"/>
    <x v="89"/>
    <s v="Buy"/>
    <s v="Mitsubishi UFJ Financial Group, 5.188% 12sep2036"/>
    <n v="200000"/>
    <s v="Approved"/>
  </r>
  <r>
    <x v="17"/>
    <x v="89"/>
    <s v="Sell"/>
    <s v="GANFENGLITHIUM"/>
    <n v="8000"/>
    <s v="Approved"/>
  </r>
  <r>
    <x v="17"/>
    <x v="90"/>
    <s v="Buy"/>
    <s v="UBS 5.01 3/23/37"/>
    <n v="200000"/>
    <s v="Approved"/>
  </r>
  <r>
    <x v="23"/>
    <x v="91"/>
    <s v="Buy"/>
    <s v="Alibaba Group Holding Ltd - ADR"/>
    <n v="10"/>
    <s v="Rejected"/>
  </r>
  <r>
    <x v="23"/>
    <x v="91"/>
    <s v="Sell"/>
    <s v="NVIDIA Corp"/>
    <n v="9"/>
    <s v="Rejected"/>
  </r>
  <r>
    <x v="3"/>
    <x v="92"/>
    <s v="Sell"/>
    <s v="RICHTECH ROBOTICS INC-CL B"/>
    <n v="300"/>
    <s v="Approved"/>
  </r>
  <r>
    <x v="17"/>
    <x v="93"/>
    <s v="Buy"/>
    <s v="ANTA SPORTS(02020.HK)'"/>
    <n v="5000"/>
    <s v="Rejected"/>
  </r>
  <r>
    <x v="9"/>
    <x v="94"/>
    <s v="Buy"/>
    <s v="Zijin Gold International"/>
    <n v="600"/>
    <s v="Approved"/>
  </r>
  <r>
    <x v="9"/>
    <x v="94"/>
    <s v="Buy"/>
    <s v="Zijin Mining Group"/>
    <n v="2000"/>
    <s v="Approved"/>
  </r>
  <r>
    <x v="23"/>
    <x v="95"/>
    <s v="Sell"/>
    <s v="Datadog Inc - Class A"/>
    <n v="0.60000002384185802"/>
    <s v="Approved"/>
  </r>
  <r>
    <x v="23"/>
    <x v="95"/>
    <s v="Sell"/>
    <s v="Taiwan Semiconductor Manufacturing Co Ltd - ADR"/>
    <n v="2"/>
    <s v="Approved"/>
  </r>
  <r>
    <x v="23"/>
    <x v="95"/>
    <s v="Sell"/>
    <s v="NVIDIA Corp"/>
    <n v="9"/>
    <s v="Approved"/>
  </r>
  <r>
    <x v="23"/>
    <x v="95"/>
    <s v="Sell"/>
    <s v="Alphabet Inc - Class A"/>
    <n v="3"/>
    <s v="Approved"/>
  </r>
  <r>
    <x v="17"/>
    <x v="96"/>
    <s v="Buy"/>
    <s v="Hua Hong Semiconductor Limited"/>
    <n v="6000"/>
    <s v="Approved"/>
  </r>
  <r>
    <x v="17"/>
    <x v="96"/>
    <s v="Buy"/>
    <s v="2400. HK"/>
    <n v="3000"/>
    <s v="Approved"/>
  </r>
  <r>
    <x v="23"/>
    <x v="96"/>
    <s v="Sell"/>
    <s v="Alibaba Group Holding Ltd - ADR"/>
    <n v="2"/>
    <s v="Rejected"/>
  </r>
  <r>
    <x v="23"/>
    <x v="96"/>
    <s v="Sell"/>
    <s v="META US"/>
    <n v="1"/>
    <s v="Approved"/>
  </r>
  <r>
    <x v="24"/>
    <x v="97"/>
    <s v="Sell"/>
    <s v="Centrus Energy Corp"/>
    <n v="50"/>
    <s v="Approved"/>
  </r>
  <r>
    <x v="2"/>
    <x v="97"/>
    <s v="Buy"/>
    <s v="Viva Biotech"/>
    <n v="100000"/>
    <s v="Approved"/>
  </r>
  <r>
    <x v="23"/>
    <x v="98"/>
    <s v="Sell"/>
    <s v="Goldman Sachs Physical Gold ETF BATS"/>
    <n v="53"/>
    <s v="Rejected"/>
  </r>
  <r>
    <x v="23"/>
    <x v="98"/>
    <s v="Sell"/>
    <s v="Intel Corp"/>
    <n v="4.4800000190734899"/>
    <s v="Approved"/>
  </r>
  <r>
    <x v="1"/>
    <x v="99"/>
    <s v="Sell"/>
    <s v="Berkshire Hathaway Inc - Class B"/>
    <n v="1"/>
    <s v="Approved"/>
  </r>
  <r>
    <x v="25"/>
    <x v="100"/>
    <s v="Sell"/>
    <s v="CNE000001337"/>
    <n v="500"/>
    <s v="Approved"/>
  </r>
  <r>
    <x v="25"/>
    <x v="100"/>
    <s v="Sell"/>
    <s v="全柴动力"/>
    <n v="200"/>
    <s v="Approved"/>
  </r>
  <r>
    <x v="23"/>
    <x v="100"/>
    <s v="Buy"/>
    <s v="Meta Platforms Inc"/>
    <n v="4"/>
    <s v="Approved"/>
  </r>
  <r>
    <x v="3"/>
    <x v="101"/>
    <s v="Buy"/>
    <s v="Duolingo"/>
    <n v="50"/>
    <s v="Approved"/>
  </r>
  <r>
    <x v="1"/>
    <x v="102"/>
    <s v="Buy"/>
    <s v="Novo Nordisk A/S - ADR"/>
    <n v="10"/>
    <s v="Approved"/>
  </r>
  <r>
    <x v="26"/>
    <x v="103"/>
    <s v="Sell"/>
    <s v="Hang Seng Bank Ltd. HKG: 0011"/>
    <n v="100"/>
    <s v="Approved"/>
  </r>
  <r>
    <x v="2"/>
    <x v="103"/>
    <s v="Sell"/>
    <s v="Dongfeng Group"/>
    <n v="10000"/>
    <s v="Approved"/>
  </r>
  <r>
    <x v="26"/>
    <x v="104"/>
    <s v="Buy"/>
    <s v="rmv"/>
    <n v="262"/>
    <s v="Approved"/>
  </r>
  <r>
    <x v="4"/>
    <x v="105"/>
    <s v="Buy"/>
    <s v="iShares Core DAX UCITS ETF (DE) - EUR Acc"/>
    <n v="10000"/>
    <s v="Rejected"/>
  </r>
  <r>
    <x v="4"/>
    <x v="105"/>
    <s v="Buy"/>
    <s v="iShares Hang Seng Tech ETF - USD"/>
    <n v="10000"/>
    <s v="Rejected"/>
  </r>
  <r>
    <x v="4"/>
    <x v="105"/>
    <s v="Buy"/>
    <s v="iShares S&amp;P 500 CHF Hedged UCITS ETF(Acc)"/>
    <n v="10000"/>
    <s v="Rejected"/>
  </r>
  <r>
    <x v="4"/>
    <x v="106"/>
    <s v="Buy"/>
    <s v="iShares S&amp;P 500 CHF Hedged UCITS ETF(Acc)"/>
    <n v="100"/>
    <s v="Approved"/>
  </r>
  <r>
    <x v="4"/>
    <x v="106"/>
    <s v="Buy"/>
    <s v="iShares Core DAX UCITS ETF (DE) - EUR Acc"/>
    <n v="52"/>
    <s v="Approved"/>
  </r>
  <r>
    <x v="4"/>
    <x v="106"/>
    <s v="Buy"/>
    <s v="iShares HangSeng Tech ETF - USD Acc"/>
    <n v="6800"/>
    <s v="Approved"/>
  </r>
  <r>
    <x v="2"/>
    <x v="107"/>
    <s v="Sell"/>
    <s v="Dongfeng Group"/>
    <n v="10000"/>
    <s v="Approved"/>
  </r>
  <r>
    <x v="27"/>
    <x v="108"/>
    <s v="Sell"/>
    <s v="Exact Sciences Corp"/>
    <n v="600"/>
    <s v="Approved"/>
  </r>
  <r>
    <x v="4"/>
    <x v="108"/>
    <s v="Buy"/>
    <s v="PT Barito Pacific Tbk"/>
    <n v="47000"/>
    <s v="Approved"/>
  </r>
  <r>
    <x v="17"/>
    <x v="108"/>
    <s v="Buy"/>
    <s v="JD.com Inc - Class A"/>
    <n v="2000"/>
    <s v="Approved"/>
  </r>
  <r>
    <x v="4"/>
    <x v="109"/>
    <s v="Buy"/>
    <s v="Kraken Robotics Inc."/>
    <n v="2500"/>
    <s v="Approved"/>
  </r>
  <r>
    <x v="4"/>
    <x v="109"/>
    <s v="Sell"/>
    <s v="iShares Bitcoin Trust"/>
    <n v="210"/>
    <s v="Approved"/>
  </r>
  <r>
    <x v="15"/>
    <x v="110"/>
    <s v="Sell"/>
    <s v="Diversified Growth Company SICAV_x000d__x000a_NS Balanced_x000d__x000a_A-CHF-capitalisation"/>
    <n v="480"/>
    <s v="Approved"/>
  </r>
  <r>
    <x v="15"/>
    <x v="110"/>
    <s v="Sell"/>
    <s v="Diversified Growth Company SICAV - Swiss Excellence A-CHF-capitalisation"/>
    <n v="150"/>
    <s v="Approved"/>
  </r>
  <r>
    <x v="15"/>
    <x v="110"/>
    <s v="Sell"/>
    <s v="Roche Holding AG"/>
    <n v="30"/>
    <s v="Approved"/>
  </r>
  <r>
    <x v="1"/>
    <x v="111"/>
    <s v="Buy"/>
    <s v="Netflix Inc"/>
    <n v="10"/>
    <s v="Approved"/>
  </r>
  <r>
    <x v="1"/>
    <x v="111"/>
    <s v="Sell"/>
    <s v="Grab Holdings Ltd - Class A"/>
    <n v="200"/>
    <s v="Approved"/>
  </r>
  <r>
    <x v="17"/>
    <x v="112"/>
    <s v="Buy"/>
    <s v="Alibaba Group Holding Limited"/>
    <n v="3000"/>
    <s v="Approved"/>
  </r>
  <r>
    <x v="26"/>
    <x v="113"/>
    <s v="Buy"/>
    <s v="GB00BVYVFW23"/>
    <n v="107"/>
    <s v="Approved"/>
  </r>
  <r>
    <x v="26"/>
    <x v="113"/>
    <s v="Sell"/>
    <s v="hexcel corp"/>
    <n v="4"/>
    <s v="Approved"/>
  </r>
  <r>
    <x v="26"/>
    <x v="114"/>
    <s v="Buy"/>
    <s v="Grupa Pracuj SA"/>
    <n v="68"/>
    <s v="Approved"/>
  </r>
  <r>
    <x v="26"/>
    <x v="114"/>
    <s v="Sell"/>
    <s v="dbs group holdings ltd"/>
    <n v="20"/>
    <s v="Approv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F1C936-48D0-4E9A-940D-17EC0AB10BE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0:B63" firstHeaderRow="1" firstDataRow="1" firstDataCol="1"/>
  <pivotFields count="8">
    <pivotField multipleItemSelectionAllowed="1" showAll="0">
      <items count="29">
        <item sd="0" x="12"/>
        <item sd="0" x="4"/>
        <item sd="0" x="27"/>
        <item sd="0" x="7"/>
        <item sd="0" x="3"/>
        <item sd="0" x="16"/>
        <item sd="0" x="17"/>
        <item sd="0" x="0"/>
        <item sd="0" x="20"/>
        <item sd="0" x="15"/>
        <item sd="0" x="19"/>
        <item sd="0" x="2"/>
        <item sd="0" x="1"/>
        <item sd="0" x="22"/>
        <item sd="0" x="6"/>
        <item sd="0" x="11"/>
        <item sd="0" x="9"/>
        <item sd="0" x="24"/>
        <item sd="0" x="26"/>
        <item sd="0" x="23"/>
        <item sd="0" x="21"/>
        <item sd="0" x="18"/>
        <item sd="0" x="25"/>
        <item sd="0" x="8"/>
        <item sd="0" x="10"/>
        <item sd="0" x="5"/>
        <item sd="0" x="14"/>
        <item sd="0" x="13"/>
        <item t="default"/>
      </items>
    </pivotField>
    <pivotField axis="axisRow" dataField="1" numFmtId="166" showAll="0">
      <items count="1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7"/>
    <field x="6"/>
    <field x="1"/>
  </rowFields>
  <rowItems count="13">
    <i>
      <x v="1"/>
    </i>
    <i>
      <x v="2"/>
    </i>
    <i>
      <x v="3"/>
    </i>
    <i>
      <x v="4"/>
    </i>
    <i>
      <x v="5"/>
    </i>
    <i>
      <x v="6"/>
    </i>
    <i>
      <x v="7"/>
    </i>
    <i>
      <x v="8"/>
    </i>
    <i>
      <x v="9"/>
    </i>
    <i>
      <x v="10"/>
    </i>
    <i>
      <x v="11"/>
    </i>
    <i>
      <x v="12"/>
    </i>
    <i t="grand">
      <x/>
    </i>
  </rowItems>
  <colItems count="1">
    <i/>
  </colItems>
  <dataFields count="1">
    <dataField name="Count of Request Date" fld="1" subtotal="count" baseField="0" baseItem="0"/>
  </dataFields>
  <chartFormats count="2">
    <chartFormat chart="5"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03B5AF-37D7-48CA-B785-1A722AE061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32" firstHeaderRow="1" firstDataRow="1" firstDataCol="1"/>
  <pivotFields count="8">
    <pivotField axis="axisRow" multipleItemSelectionAllowed="1" showAll="0">
      <items count="29">
        <item sd="0" x="12"/>
        <item sd="0" x="4"/>
        <item sd="0" x="27"/>
        <item sd="0" x="7"/>
        <item sd="0" x="3"/>
        <item sd="0" x="16"/>
        <item sd="0" x="17"/>
        <item sd="0" x="0"/>
        <item sd="0" x="20"/>
        <item sd="0" x="15"/>
        <item sd="0" x="19"/>
        <item sd="0" x="2"/>
        <item sd="0" x="1"/>
        <item sd="0" x="22"/>
        <item sd="0" x="6"/>
        <item sd="0" x="11"/>
        <item sd="0" x="9"/>
        <item sd="0" x="24"/>
        <item sd="0" x="26"/>
        <item sd="0" x="23"/>
        <item sd="0" x="21"/>
        <item sd="0" x="18"/>
        <item sd="0" x="25"/>
        <item sd="0" x="8"/>
        <item sd="0" x="10"/>
        <item sd="0" x="5"/>
        <item sd="0" x="14"/>
        <item sd="0" x="13"/>
        <item t="default"/>
      </items>
    </pivotField>
    <pivotField axis="axisRow" dataField="1" numFmtId="166" showAll="0">
      <items count="1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4">
    <field x="0"/>
    <field x="7"/>
    <field x="6"/>
    <field x="1"/>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Count of Request Date" fld="1" subtotal="count"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estor" xr10:uid="{0C35168A-CAC8-43AE-AA23-C90071890A78}" sourceName="Requestor">
  <pivotTables>
    <pivotTable tabId="9" name="PivotTable1"/>
    <pivotTable tabId="9" name="PivotTable2"/>
  </pivotTables>
  <data>
    <tabular pivotCacheId="1343158519">
      <items count="28">
        <i x="12" s="1"/>
        <i x="4" s="1"/>
        <i x="27" s="1"/>
        <i x="7" s="1"/>
        <i x="3" s="1"/>
        <i x="16" s="1"/>
        <i x="17" s="1"/>
        <i x="0" s="1"/>
        <i x="20" s="1"/>
        <i x="15" s="1"/>
        <i x="19" s="1"/>
        <i x="2" s="1"/>
        <i x="1" s="1"/>
        <i x="22" s="1"/>
        <i x="6" s="1"/>
        <i x="11" s="1"/>
        <i x="9" s="1"/>
        <i x="24" s="1"/>
        <i x="26" s="1"/>
        <i x="23" s="1"/>
        <i x="21" s="1"/>
        <i x="18" s="1"/>
        <i x="25" s="1"/>
        <i x="8" s="1"/>
        <i x="10" s="1"/>
        <i x="5" s="1"/>
        <i x="14"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quest_Date" xr10:uid="{48EB6C96-4361-4956-9E4E-432F3518A69E}" sourceName="Request Date">
  <pivotTables>
    <pivotTable tabId="9" name="PivotTable1"/>
    <pivotTable tabId="9" name="PivotTable2"/>
  </pivotTables>
  <data>
    <tabular pivotCacheId="1343158519">
      <items count="11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questor" xr10:uid="{335272F4-A275-48A3-ACD9-2474625E0BBF}" cache="Slicer_Requestor" caption="Requestor" rowHeight="241300"/>
  <slicer name="Request Date" xr10:uid="{BB56F6AE-F7AF-4964-8A02-EFA28199877C}" cache="Slicer_Request_Date" caption="Request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E85202-40A1-4AF8-897B-DB259F8DB512}" name="Table1" displayName="Table1" ref="A1:E14" totalsRowCount="1">
  <autoFilter ref="A1:E13" xr:uid="{CCE85202-40A1-4AF8-897B-DB259F8DB512}"/>
  <tableColumns count="5">
    <tableColumn id="1" xr3:uid="{E907DD82-C3BA-40CC-915A-8220E505A419}" name="Month"/>
    <tableColumn id="2" xr3:uid="{7E0B5C32-1567-4E4F-9BA3-827C58962BB4}" name="Employees Who Did Not Submit" totalsRowFunction="sum"/>
    <tableColumn id="3" xr3:uid="{B3DCE0C7-BAEC-49AB-BE3A-4AD934BC19BC}" name="Total Employees Required"/>
    <tableColumn id="4" xr3:uid="{326A2BB4-BF79-4B4D-AF80-6B11BA0DABB7}" name="Non Submission Rate (%)" dataDxfId="38" totalsRowDxfId="37"/>
    <tableColumn id="5" xr3:uid="{23E4C992-3382-4D23-8F00-048F8239FE3D}" name=" Number of Incidents" totalsRowFunction="sum"/>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FB2F8B-D934-497E-916F-0E5AA624A437}" name="Table13" displayName="Table13" ref="B48:F53" totalsRowShown="0">
  <autoFilter ref="B48:F53" xr:uid="{50FB2F8B-D934-497E-916F-0E5AA624A437}"/>
  <tableColumns count="5">
    <tableColumn id="1" xr3:uid="{8FEA7B33-EEEC-4CB2-A2CF-010B05E028D3}" name="Month 2024"/>
    <tableColumn id="2" xr3:uid="{65D47330-826A-491E-AC3E-4BBB12C374AD}" name="Employees Who Did Not Submit"/>
    <tableColumn id="3" xr3:uid="{160B7A93-412C-4A6F-8525-92F07F12026F}" name="Total Employees Required"/>
    <tableColumn id="4" xr3:uid="{515B71C3-4A9A-45E8-BD0D-528034862BAC}" name="Non Submission Rate (%)" dataDxfId="36"/>
    <tableColumn id="5" xr3:uid="{1D339090-4E6A-4F24-BE7D-5C07F9307769}" name=" Number of Inciden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00A3E5A-11CA-4241-AC9D-24A74C21BF7C}" name="Table4" displayName="Table4" ref="U121:AJ122" totalsRowShown="0" headerRowDxfId="35" dataDxfId="34">
  <autoFilter ref="U121:AJ122" xr:uid="{700A3E5A-11CA-4241-AC9D-24A74C21BF7C}"/>
  <tableColumns count="16">
    <tableColumn id="1" xr3:uid="{5C1953C7-1E04-43AE-B1D3-270C49655449}" name="Months"/>
    <tableColumn id="2" xr3:uid="{FBB2E57C-353E-422D-A59A-89C3962EC877}" name="August" dataDxfId="33"/>
    <tableColumn id="3" xr3:uid="{025E439F-A74E-4BDF-A495-CC5582F1CA5C}" name="September" dataDxfId="32"/>
    <tableColumn id="4" xr3:uid="{8B9A8D07-AC01-45D8-A246-EA478F6536DF}" name="October" dataDxfId="31"/>
    <tableColumn id="5" xr3:uid="{9B265CBF-47E0-43F8-9FFC-C8C5E1E51B0D}" name="November" dataDxfId="30"/>
    <tableColumn id="6" xr3:uid="{ADBC65CE-59A0-44EA-8388-54A94955F803}" name="December" dataDxfId="29"/>
    <tableColumn id="7" xr3:uid="{DD7E6790-AB32-44AA-B263-412123C6B3C8}" name="January" dataDxfId="28"/>
    <tableColumn id="8" xr3:uid="{FD3BF543-2756-4189-A1D8-419A7DEE3CC3}" name="February" dataDxfId="27"/>
    <tableColumn id="9" xr3:uid="{9BAF977F-4C73-4D91-A269-B0D57323D68B}" name="March" dataDxfId="26"/>
    <tableColumn id="10" xr3:uid="{53DD186E-8684-44F4-951E-28559475DFCD}" name="April" dataDxfId="25"/>
    <tableColumn id="11" xr3:uid="{7F5DE9BD-09FA-4D0F-B6BD-B0C87570774F}" name="May" dataDxfId="24"/>
    <tableColumn id="12" xr3:uid="{2D64954C-793B-4576-9116-C1E6DC689D8C}" name="June" dataDxfId="23"/>
    <tableColumn id="13" xr3:uid="{8762C316-332C-4881-8AF4-A7ED122A8A67}" name="July" dataDxfId="22"/>
    <tableColumn id="14" xr3:uid="{4A20CE55-B4EE-4CDA-BE20-ADFB7EAF7702}" name="August2" dataDxfId="21"/>
    <tableColumn id="15" xr3:uid="{1030085F-FF55-4146-BCCD-D2FB472418D8}" name="September3" dataDxfId="20"/>
    <tableColumn id="16" xr3:uid="{E87C50ED-5EF6-4074-9E57-C541C48FDD6F}" name="October4" dataDxfId="1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343656D-11AE-412D-ACC6-1155AA6C5DA4}" name="Table5" displayName="Table5" ref="Z126:AJ127" totalsRowShown="0" headerRowDxfId="18" dataDxfId="17">
  <autoFilter ref="Z126:AJ127" xr:uid="{2343656D-11AE-412D-ACC6-1155AA6C5DA4}"/>
  <tableColumns count="11">
    <tableColumn id="1" xr3:uid="{081037FC-229B-4647-A1BF-CFA373A30E20}" name="2025" dataDxfId="16"/>
    <tableColumn id="2" xr3:uid="{0CB29755-3048-43B6-BE96-1AAE8A0E5840}" name="Jan" dataDxfId="15"/>
    <tableColumn id="3" xr3:uid="{6086ADA4-DF56-48B8-BB2E-0733EC7F2003}" name="Feb" dataDxfId="14"/>
    <tableColumn id="4" xr3:uid="{C89B67C2-523D-4FA7-BD73-DB576737D659}" name="Mar" dataDxfId="13"/>
    <tableColumn id="5" xr3:uid="{2858481C-3D4F-47BC-93E1-8F5CBE8F9106}" name="Apr" dataDxfId="12"/>
    <tableColumn id="6" xr3:uid="{CC29FB50-00E7-4A7A-A1FE-26F8A6EEC9C4}" name="May" dataDxfId="11"/>
    <tableColumn id="7" xr3:uid="{B53721F2-256D-44EF-BF06-C4922786EA74}" name="Jun" dataDxfId="10"/>
    <tableColumn id="8" xr3:uid="{074BC471-75F0-48EF-80C0-B4F3F8D4E02A}" name="Jul" dataDxfId="9"/>
    <tableColumn id="9" xr3:uid="{F8D64CCF-4245-4601-AABD-F6E00BD05639}" name="Aug" dataDxfId="8"/>
    <tableColumn id="10" xr3:uid="{949CDE34-7C53-41F1-8CC3-C73EFA4137F1}" name="Sep" dataDxfId="7"/>
    <tableColumn id="11" xr3:uid="{751E6B2C-9F32-4D7B-951D-B42F51303F98}" name="Oct" dataDxfId="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22C4C1-3847-4339-92FE-7CE4F1D1D338}" name="Table14" displayName="Table14" ref="E2:F48" totalsRowShown="0" dataDxfId="5">
  <autoFilter ref="E2:F48" xr:uid="{D422C4C1-3847-4339-92FE-7CE4F1D1D338}"/>
  <tableColumns count="2">
    <tableColumn id="1" xr3:uid="{37671938-9F65-49E0-9579-35AE648C854E}" name="Name" dataDxfId="4"/>
    <tableColumn id="2" xr3:uid="{037EB913-6750-4D10-BD6B-F66FAB7A445D}" name="No of PAD accounts" dataDxfId="3"/>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28" dT="2026-06-01T04:07:33.87" personId="{59E5FD09-4AC2-4B7C-AF1C-ED61ADF50639}" id="{DA360984-A700-44E5-A353-40FE0ABA6BE2}">
    <text>Left the organization</text>
  </threadedComment>
  <threadedComment ref="F44" dT="2026-06-01T04:28:30.85" personId="{59E5FD09-4AC2-4B7C-AF1C-ED61ADF50639}" id="{6F4FDA79-76FE-441B-8423-FF3A82506EC2}">
    <text>Account Closed. No statements will be issued.</text>
  </threadedComment>
  <threadedComment ref="I51" dT="2026-06-05T03:42:38.39" personId="{59E5FD09-4AC2-4B7C-AF1C-ED61ADF50639}" id="{105F8209-40D9-4AFD-B3C5-A8FD07470E02}">
    <text>Left the organization</text>
  </threadedComment>
  <threadedComment ref="G57" dT="2026-04-21T10:27:06.54" personId="{59E5FD09-4AC2-4B7C-AF1C-ED61ADF50639}" id="{D26FDA32-AAAD-4E2C-9B08-8E37F27B7FC8}">
    <text>Left the organization</text>
  </threadedComment>
  <threadedComment ref="H70" dT="2026-05-11T04:30:47.80" personId="{59E5FD09-4AC2-4B7C-AF1C-ED61ADF50639}" id="{21E961CE-776E-4925-B0E0-4B0357D43B93}">
    <text xml:space="preserve">Left the organization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 Id="rId5" Type="http://schemas.openxmlformats.org/officeDocument/2006/relationships/table" Target="../tables/table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B2E45-7FCC-4B4B-AD71-D79ACD2C0ED5}">
  <sheetPr codeName="Sheet1">
    <tabColor theme="9" tint="0.39997558519241921"/>
    <pageSetUpPr fitToPage="1"/>
  </sheetPr>
  <dimension ref="A1:R98"/>
  <sheetViews>
    <sheetView zoomScale="115" zoomScaleNormal="115" workbookViewId="0">
      <pane ySplit="1" topLeftCell="A44" activePane="bottomLeft" state="frozen"/>
      <selection pane="bottomLeft" activeCell="D14" sqref="D14"/>
    </sheetView>
  </sheetViews>
  <sheetFormatPr defaultColWidth="8.7109375" defaultRowHeight="12.75" x14ac:dyDescent="0.2"/>
  <cols>
    <col min="1" max="1" width="26.85546875" style="1" bestFit="1" customWidth="1"/>
    <col min="2" max="2" width="34.7109375" style="1" bestFit="1" customWidth="1"/>
    <col min="3" max="3" width="45.42578125" style="1" bestFit="1" customWidth="1"/>
    <col min="4" max="4" width="24.7109375" style="1" customWidth="1"/>
    <col min="5" max="9" width="6" style="1" customWidth="1"/>
    <col min="10" max="11" width="6" style="1" hidden="1" customWidth="1"/>
    <col min="12" max="12" width="8.42578125" style="1" hidden="1" customWidth="1"/>
    <col min="13" max="13" width="8.28515625" style="1" hidden="1" customWidth="1"/>
    <col min="14" max="14" width="9" style="1" hidden="1" customWidth="1"/>
    <col min="15" max="15" width="9.7109375" style="1" hidden="1" customWidth="1"/>
    <col min="16" max="16" width="8.42578125" style="1" hidden="1" customWidth="1"/>
    <col min="17" max="17" width="41" style="1" customWidth="1"/>
    <col min="18" max="18" width="87.5703125" style="1" customWidth="1"/>
    <col min="19" max="16384" width="8.7109375" style="1"/>
  </cols>
  <sheetData>
    <row r="1" spans="1:18" ht="21" customHeight="1" x14ac:dyDescent="0.2">
      <c r="A1" s="35" t="s">
        <v>0</v>
      </c>
      <c r="B1" s="35" t="s">
        <v>1</v>
      </c>
      <c r="C1" s="35" t="s">
        <v>2</v>
      </c>
      <c r="D1" s="35" t="s">
        <v>3</v>
      </c>
      <c r="E1" s="35" t="s">
        <v>4</v>
      </c>
      <c r="F1" s="35" t="s">
        <v>5</v>
      </c>
      <c r="G1" s="35" t="s">
        <v>6</v>
      </c>
      <c r="H1" s="35" t="s">
        <v>7</v>
      </c>
      <c r="I1" s="35" t="s">
        <v>8</v>
      </c>
      <c r="J1" s="35" t="s">
        <v>9</v>
      </c>
      <c r="K1" s="35" t="s">
        <v>10</v>
      </c>
      <c r="L1" s="35" t="s">
        <v>11</v>
      </c>
      <c r="M1" s="35" t="s">
        <v>12</v>
      </c>
      <c r="N1" s="35" t="s">
        <v>13</v>
      </c>
      <c r="O1" s="35" t="s">
        <v>14</v>
      </c>
      <c r="P1" s="35" t="s">
        <v>15</v>
      </c>
      <c r="Q1" s="2" t="s">
        <v>16</v>
      </c>
    </row>
    <row r="2" spans="1:18" x14ac:dyDescent="0.2">
      <c r="A2" s="120" t="s">
        <v>17</v>
      </c>
      <c r="B2" s="108" t="s">
        <v>18</v>
      </c>
      <c r="C2" s="4" t="s">
        <v>19</v>
      </c>
      <c r="D2" s="5" t="s">
        <v>20</v>
      </c>
      <c r="E2" s="25" t="s">
        <v>21</v>
      </c>
      <c r="F2" s="25" t="s">
        <v>21</v>
      </c>
      <c r="G2" s="25" t="s">
        <v>21</v>
      </c>
      <c r="H2" s="25" t="s">
        <v>21</v>
      </c>
      <c r="I2" s="25"/>
      <c r="J2" s="25"/>
      <c r="K2" s="25"/>
      <c r="L2" s="25"/>
      <c r="M2" s="25"/>
      <c r="N2" s="25"/>
      <c r="O2" s="25"/>
      <c r="P2" s="25"/>
      <c r="Q2" s="24"/>
    </row>
    <row r="3" spans="1:18" x14ac:dyDescent="0.2">
      <c r="A3" s="121"/>
      <c r="B3" s="109"/>
      <c r="C3" s="4" t="s">
        <v>22</v>
      </c>
      <c r="D3" s="5">
        <v>504324</v>
      </c>
      <c r="E3" s="25" t="s">
        <v>21</v>
      </c>
      <c r="F3" s="25" t="s">
        <v>21</v>
      </c>
      <c r="G3" s="25" t="s">
        <v>21</v>
      </c>
      <c r="H3" s="25" t="s">
        <v>21</v>
      </c>
      <c r="I3" s="25"/>
      <c r="J3" s="25"/>
      <c r="K3" s="25"/>
      <c r="L3" s="25"/>
      <c r="M3" s="25"/>
      <c r="N3" s="25"/>
      <c r="O3" s="25"/>
      <c r="P3" s="25"/>
      <c r="Q3" s="4"/>
    </row>
    <row r="4" spans="1:18" x14ac:dyDescent="0.2">
      <c r="A4" s="122"/>
      <c r="B4" s="110"/>
      <c r="C4" s="4" t="s">
        <v>23</v>
      </c>
      <c r="D4" s="5" t="s">
        <v>24</v>
      </c>
      <c r="E4" s="25" t="s">
        <v>21</v>
      </c>
      <c r="F4" s="25" t="s">
        <v>21</v>
      </c>
      <c r="G4" s="25" t="s">
        <v>21</v>
      </c>
      <c r="H4" s="25" t="s">
        <v>21</v>
      </c>
      <c r="I4" s="25"/>
      <c r="J4" s="25"/>
      <c r="K4" s="25"/>
      <c r="L4" s="25"/>
      <c r="M4" s="25"/>
      <c r="N4" s="25"/>
      <c r="O4" s="25"/>
      <c r="P4" s="25"/>
      <c r="Q4" s="4"/>
    </row>
    <row r="5" spans="1:18" x14ac:dyDescent="0.2">
      <c r="A5" s="33" t="s">
        <v>25</v>
      </c>
      <c r="B5" s="33" t="s">
        <v>26</v>
      </c>
      <c r="C5" s="4" t="s">
        <v>19</v>
      </c>
      <c r="D5" s="5" t="s">
        <v>27</v>
      </c>
      <c r="E5" s="25" t="s">
        <v>21</v>
      </c>
      <c r="F5" s="25" t="s">
        <v>21</v>
      </c>
      <c r="G5" s="25" t="s">
        <v>21</v>
      </c>
      <c r="H5" s="25" t="s">
        <v>21</v>
      </c>
      <c r="I5" s="25" t="s">
        <v>21</v>
      </c>
      <c r="J5" s="25"/>
      <c r="K5" s="25"/>
      <c r="L5" s="25"/>
      <c r="M5" s="25"/>
      <c r="N5" s="25"/>
      <c r="O5" s="25"/>
      <c r="P5" s="25"/>
      <c r="Q5" s="4"/>
      <c r="R5" s="8"/>
    </row>
    <row r="6" spans="1:18" x14ac:dyDescent="0.2">
      <c r="A6" s="3" t="s">
        <v>28</v>
      </c>
      <c r="B6" s="3" t="s">
        <v>29</v>
      </c>
      <c r="C6" s="4" t="s">
        <v>19</v>
      </c>
      <c r="D6" s="5" t="s">
        <v>30</v>
      </c>
      <c r="E6" s="25" t="s">
        <v>21</v>
      </c>
      <c r="F6" s="25" t="s">
        <v>21</v>
      </c>
      <c r="G6" s="25" t="s">
        <v>21</v>
      </c>
      <c r="H6" s="25" t="s">
        <v>21</v>
      </c>
      <c r="I6" s="25" t="s">
        <v>21</v>
      </c>
      <c r="J6" s="25"/>
      <c r="K6" s="25"/>
      <c r="L6" s="25"/>
      <c r="M6" s="25"/>
      <c r="N6" s="25"/>
      <c r="O6" s="25"/>
      <c r="P6" s="25"/>
      <c r="Q6" s="6"/>
    </row>
    <row r="7" spans="1:18" ht="38.25" x14ac:dyDescent="0.2">
      <c r="A7" s="33" t="s">
        <v>31</v>
      </c>
      <c r="B7" s="33" t="s">
        <v>32</v>
      </c>
      <c r="C7" s="4" t="s">
        <v>33</v>
      </c>
      <c r="D7" s="7" t="s">
        <v>34</v>
      </c>
      <c r="E7" s="25" t="s">
        <v>21</v>
      </c>
      <c r="F7" s="25" t="s">
        <v>21</v>
      </c>
      <c r="G7" s="25" t="s">
        <v>21</v>
      </c>
      <c r="H7" s="25" t="s">
        <v>21</v>
      </c>
      <c r="I7" s="25" t="s">
        <v>21</v>
      </c>
      <c r="J7" s="25"/>
      <c r="K7" s="25"/>
      <c r="L7" s="25"/>
      <c r="M7" s="25"/>
      <c r="N7" s="25"/>
      <c r="O7" s="25"/>
      <c r="P7" s="25"/>
      <c r="Q7" s="12" t="s">
        <v>35</v>
      </c>
    </row>
    <row r="8" spans="1:18" x14ac:dyDescent="0.2">
      <c r="A8" s="108" t="s">
        <v>36</v>
      </c>
      <c r="B8" s="108" t="s">
        <v>37</v>
      </c>
      <c r="C8" s="4" t="s">
        <v>38</v>
      </c>
      <c r="D8" s="5">
        <v>38587173</v>
      </c>
      <c r="E8" s="25" t="s">
        <v>21</v>
      </c>
      <c r="F8" s="25" t="s">
        <v>21</v>
      </c>
      <c r="G8" s="25" t="s">
        <v>21</v>
      </c>
      <c r="H8" s="25" t="s">
        <v>21</v>
      </c>
      <c r="I8" s="25"/>
      <c r="J8" s="25"/>
      <c r="K8" s="25"/>
      <c r="L8" s="25"/>
      <c r="M8" s="25"/>
      <c r="N8" s="25"/>
      <c r="O8" s="25"/>
      <c r="P8" s="25"/>
      <c r="Q8" s="4"/>
    </row>
    <row r="9" spans="1:18" x14ac:dyDescent="0.2">
      <c r="A9" s="109"/>
      <c r="B9" s="109"/>
      <c r="C9" s="4" t="s">
        <v>39</v>
      </c>
      <c r="D9" s="103" t="s">
        <v>40</v>
      </c>
      <c r="E9" s="104" t="s">
        <v>43</v>
      </c>
      <c r="F9" s="104" t="s">
        <v>43</v>
      </c>
      <c r="G9" s="25" t="s">
        <v>21</v>
      </c>
      <c r="H9" s="25" t="s">
        <v>21</v>
      </c>
      <c r="I9" s="25"/>
      <c r="J9" s="25"/>
      <c r="K9" s="25"/>
      <c r="L9" s="25"/>
      <c r="M9" s="25"/>
      <c r="N9" s="25"/>
      <c r="O9" s="25"/>
      <c r="P9" s="25"/>
      <c r="Q9" s="4"/>
    </row>
    <row r="10" spans="1:18" x14ac:dyDescent="0.2">
      <c r="A10" s="109"/>
      <c r="B10" s="109"/>
      <c r="C10" s="4" t="s">
        <v>41</v>
      </c>
      <c r="D10" s="4" t="s">
        <v>42</v>
      </c>
      <c r="E10" s="25" t="s">
        <v>21</v>
      </c>
      <c r="F10" s="25" t="s">
        <v>21</v>
      </c>
      <c r="G10" s="25" t="s">
        <v>21</v>
      </c>
      <c r="H10" s="25" t="s">
        <v>21</v>
      </c>
      <c r="I10" s="25"/>
      <c r="J10" s="25"/>
      <c r="K10" s="25"/>
      <c r="L10" s="25"/>
      <c r="M10" s="25"/>
      <c r="N10" s="25"/>
      <c r="O10" s="25"/>
      <c r="P10" s="25"/>
      <c r="Q10" s="4"/>
    </row>
    <row r="11" spans="1:18" x14ac:dyDescent="0.2">
      <c r="A11" s="114" t="s">
        <v>44</v>
      </c>
      <c r="B11" s="114" t="s">
        <v>45</v>
      </c>
      <c r="C11" s="4" t="s">
        <v>46</v>
      </c>
      <c r="D11" s="5" t="s">
        <v>47</v>
      </c>
      <c r="E11" s="25" t="s">
        <v>21</v>
      </c>
      <c r="F11" s="25" t="s">
        <v>21</v>
      </c>
      <c r="G11" s="25" t="s">
        <v>21</v>
      </c>
      <c r="H11" s="25" t="s">
        <v>21</v>
      </c>
      <c r="I11" s="25"/>
      <c r="J11" s="25"/>
      <c r="K11" s="25"/>
      <c r="L11" s="25"/>
      <c r="M11" s="25"/>
      <c r="N11" s="25"/>
      <c r="O11" s="25"/>
      <c r="P11" s="25"/>
      <c r="Q11" s="4"/>
    </row>
    <row r="12" spans="1:18" ht="15" customHeight="1" x14ac:dyDescent="0.2">
      <c r="A12" s="110"/>
      <c r="B12" s="110"/>
      <c r="C12" s="4" t="s">
        <v>46</v>
      </c>
      <c r="D12" s="5" t="s">
        <v>48</v>
      </c>
      <c r="E12" s="25" t="s">
        <v>21</v>
      </c>
      <c r="F12" s="25" t="s">
        <v>21</v>
      </c>
      <c r="G12" s="25" t="s">
        <v>21</v>
      </c>
      <c r="H12" s="25" t="s">
        <v>21</v>
      </c>
      <c r="I12" s="25"/>
      <c r="J12" s="25"/>
      <c r="K12" s="25"/>
      <c r="L12" s="25"/>
      <c r="M12" s="25"/>
      <c r="N12" s="25"/>
      <c r="O12" s="25"/>
      <c r="P12" s="25"/>
      <c r="Q12" s="4"/>
    </row>
    <row r="13" spans="1:18" ht="25.5" customHeight="1" x14ac:dyDescent="0.2">
      <c r="A13" s="108" t="s">
        <v>49</v>
      </c>
      <c r="B13" s="108" t="s">
        <v>50</v>
      </c>
      <c r="C13" s="4" t="s">
        <v>51</v>
      </c>
      <c r="D13" s="7" t="s">
        <v>52</v>
      </c>
      <c r="E13" s="25" t="s">
        <v>43</v>
      </c>
      <c r="F13" s="25" t="s">
        <v>43</v>
      </c>
      <c r="G13" s="25" t="s">
        <v>43</v>
      </c>
      <c r="H13" s="25" t="s">
        <v>43</v>
      </c>
      <c r="I13" s="25" t="s">
        <v>43</v>
      </c>
      <c r="J13" s="25"/>
      <c r="K13" s="25"/>
      <c r="L13" s="25"/>
      <c r="M13" s="25"/>
      <c r="N13" s="25"/>
      <c r="O13" s="25"/>
      <c r="P13" s="25"/>
      <c r="Q13" s="12" t="s">
        <v>53</v>
      </c>
    </row>
    <row r="14" spans="1:18" ht="76.5" customHeight="1" x14ac:dyDescent="0.2">
      <c r="A14" s="109"/>
      <c r="B14" s="109"/>
      <c r="C14" s="4" t="s">
        <v>54</v>
      </c>
      <c r="D14" s="7">
        <v>17270209601</v>
      </c>
      <c r="E14" s="25" t="s">
        <v>43</v>
      </c>
      <c r="F14" s="25" t="s">
        <v>43</v>
      </c>
      <c r="G14" s="25" t="s">
        <v>43</v>
      </c>
      <c r="H14" s="25" t="s">
        <v>43</v>
      </c>
      <c r="I14" s="25" t="s">
        <v>43</v>
      </c>
      <c r="J14" s="25"/>
      <c r="K14" s="25"/>
      <c r="L14" s="25"/>
      <c r="M14" s="25"/>
      <c r="N14" s="25"/>
      <c r="O14" s="25"/>
      <c r="P14" s="25"/>
      <c r="Q14" s="12" t="s">
        <v>55</v>
      </c>
    </row>
    <row r="15" spans="1:18" ht="12.75" customHeight="1" x14ac:dyDescent="0.2">
      <c r="A15" s="109"/>
      <c r="B15" s="109"/>
      <c r="C15" s="4" t="s">
        <v>56</v>
      </c>
      <c r="D15" s="7">
        <v>26956216</v>
      </c>
      <c r="E15" s="25" t="s">
        <v>21</v>
      </c>
      <c r="F15" s="25" t="s">
        <v>21</v>
      </c>
      <c r="G15" s="25" t="s">
        <v>21</v>
      </c>
      <c r="H15" s="25" t="s">
        <v>21</v>
      </c>
      <c r="I15" s="25"/>
      <c r="J15" s="25"/>
      <c r="K15" s="25"/>
      <c r="L15" s="25"/>
      <c r="M15" s="25"/>
      <c r="N15" s="25"/>
      <c r="O15" s="25"/>
      <c r="P15" s="25"/>
      <c r="Q15" s="4"/>
    </row>
    <row r="16" spans="1:18" x14ac:dyDescent="0.2">
      <c r="A16" s="110"/>
      <c r="B16" s="110"/>
      <c r="C16" s="4" t="s">
        <v>57</v>
      </c>
      <c r="D16" s="7">
        <v>20659643</v>
      </c>
      <c r="E16" s="25" t="s">
        <v>21</v>
      </c>
      <c r="F16" s="25" t="s">
        <v>21</v>
      </c>
      <c r="G16" s="25" t="s">
        <v>21</v>
      </c>
      <c r="H16" s="25" t="s">
        <v>21</v>
      </c>
      <c r="I16" s="25"/>
      <c r="J16" s="25"/>
      <c r="K16" s="25"/>
      <c r="L16" s="25"/>
      <c r="M16" s="25"/>
      <c r="N16" s="25"/>
      <c r="O16" s="25"/>
      <c r="P16" s="25"/>
      <c r="Q16" s="4"/>
    </row>
    <row r="17" spans="1:18" x14ac:dyDescent="0.2">
      <c r="A17" s="108" t="s">
        <v>58</v>
      </c>
      <c r="B17" s="108" t="s">
        <v>59</v>
      </c>
      <c r="C17" s="5" t="s">
        <v>19</v>
      </c>
      <c r="D17" s="5" t="s">
        <v>60</v>
      </c>
      <c r="E17" s="25" t="s">
        <v>21</v>
      </c>
      <c r="F17" s="25" t="s">
        <v>21</v>
      </c>
      <c r="G17" s="25" t="s">
        <v>21</v>
      </c>
      <c r="H17" s="25" t="s">
        <v>21</v>
      </c>
      <c r="I17" s="25" t="s">
        <v>21</v>
      </c>
      <c r="J17" s="25"/>
      <c r="K17" s="25"/>
      <c r="L17" s="25"/>
      <c r="M17" s="25"/>
      <c r="N17" s="25"/>
      <c r="O17" s="25"/>
      <c r="P17" s="25"/>
      <c r="Q17" s="4"/>
    </row>
    <row r="18" spans="1:18" x14ac:dyDescent="0.2">
      <c r="A18" s="110"/>
      <c r="B18" s="110"/>
      <c r="C18" s="5" t="s">
        <v>61</v>
      </c>
      <c r="D18" s="5">
        <v>24094541601</v>
      </c>
      <c r="E18" s="25" t="s">
        <v>21</v>
      </c>
      <c r="F18" s="25" t="s">
        <v>21</v>
      </c>
      <c r="G18" s="25" t="s">
        <v>21</v>
      </c>
      <c r="H18" s="25" t="s">
        <v>21</v>
      </c>
      <c r="I18" s="25" t="s">
        <v>21</v>
      </c>
      <c r="J18" s="25"/>
      <c r="K18" s="25"/>
      <c r="L18" s="25"/>
      <c r="M18" s="25"/>
      <c r="N18" s="25"/>
      <c r="O18" s="25"/>
      <c r="P18" s="25"/>
      <c r="Q18" s="4"/>
    </row>
    <row r="19" spans="1:18" x14ac:dyDescent="0.2">
      <c r="A19" s="114" t="s">
        <v>62</v>
      </c>
      <c r="B19" s="114" t="s">
        <v>63</v>
      </c>
      <c r="C19" s="123" t="s">
        <v>23</v>
      </c>
      <c r="D19" s="5" t="s">
        <v>64</v>
      </c>
      <c r="E19" s="25" t="s">
        <v>21</v>
      </c>
      <c r="F19" s="25" t="s">
        <v>21</v>
      </c>
      <c r="G19" s="25" t="s">
        <v>21</v>
      </c>
      <c r="H19" s="25" t="s">
        <v>21</v>
      </c>
      <c r="I19" s="25"/>
      <c r="J19" s="25"/>
      <c r="K19" s="25"/>
      <c r="L19" s="25"/>
      <c r="M19" s="25"/>
      <c r="N19" s="25"/>
      <c r="O19" s="25"/>
      <c r="P19" s="25"/>
      <c r="Q19" s="4"/>
    </row>
    <row r="20" spans="1:18" x14ac:dyDescent="0.2">
      <c r="A20" s="114"/>
      <c r="B20" s="114"/>
      <c r="C20" s="123"/>
      <c r="D20" s="5" t="s">
        <v>65</v>
      </c>
      <c r="E20" s="25" t="s">
        <v>21</v>
      </c>
      <c r="F20" s="25" t="s">
        <v>21</v>
      </c>
      <c r="G20" s="25" t="s">
        <v>21</v>
      </c>
      <c r="H20" s="25" t="s">
        <v>21</v>
      </c>
      <c r="I20" s="25"/>
      <c r="J20" s="25"/>
      <c r="K20" s="25"/>
      <c r="L20" s="25"/>
      <c r="M20" s="25"/>
      <c r="N20" s="25"/>
      <c r="O20" s="25"/>
      <c r="P20" s="25"/>
      <c r="Q20" s="4"/>
    </row>
    <row r="21" spans="1:18" x14ac:dyDescent="0.2">
      <c r="A21" s="114"/>
      <c r="B21" s="114"/>
      <c r="C21" s="123"/>
      <c r="D21" s="5" t="s">
        <v>66</v>
      </c>
      <c r="E21" s="25" t="s">
        <v>21</v>
      </c>
      <c r="F21" s="25" t="s">
        <v>21</v>
      </c>
      <c r="G21" s="25" t="s">
        <v>21</v>
      </c>
      <c r="H21" s="25" t="s">
        <v>21</v>
      </c>
      <c r="I21" s="25"/>
      <c r="J21" s="25"/>
      <c r="K21" s="25"/>
      <c r="L21" s="25"/>
      <c r="M21" s="25"/>
      <c r="N21" s="25"/>
      <c r="O21" s="25"/>
      <c r="P21" s="25"/>
      <c r="Q21" s="4"/>
    </row>
    <row r="22" spans="1:18" x14ac:dyDescent="0.2">
      <c r="A22" s="114" t="s">
        <v>67</v>
      </c>
      <c r="B22" s="114" t="s">
        <v>68</v>
      </c>
      <c r="C22" s="4" t="s">
        <v>69</v>
      </c>
      <c r="D22" s="5" t="s">
        <v>70</v>
      </c>
      <c r="E22" s="25" t="s">
        <v>21</v>
      </c>
      <c r="F22" s="25" t="s">
        <v>21</v>
      </c>
      <c r="G22" s="25" t="s">
        <v>21</v>
      </c>
      <c r="H22" s="25" t="s">
        <v>21</v>
      </c>
      <c r="I22" s="25" t="s">
        <v>21</v>
      </c>
      <c r="J22" s="25"/>
      <c r="K22" s="25"/>
      <c r="L22" s="25"/>
      <c r="M22" s="25"/>
      <c r="N22" s="25"/>
      <c r="O22" s="25"/>
      <c r="P22" s="25"/>
      <c r="Q22" s="4"/>
    </row>
    <row r="23" spans="1:18" ht="15" customHeight="1" x14ac:dyDescent="0.2">
      <c r="A23" s="114"/>
      <c r="B23" s="114"/>
      <c r="C23" s="4" t="s">
        <v>41</v>
      </c>
      <c r="D23" s="7" t="s">
        <v>71</v>
      </c>
      <c r="E23" s="25" t="s">
        <v>21</v>
      </c>
      <c r="F23" s="25" t="s">
        <v>21</v>
      </c>
      <c r="G23" s="25" t="s">
        <v>21</v>
      </c>
      <c r="H23" s="25" t="s">
        <v>21</v>
      </c>
      <c r="I23" s="25"/>
      <c r="J23" s="25"/>
      <c r="K23" s="25"/>
      <c r="L23" s="25"/>
      <c r="M23" s="25"/>
      <c r="N23" s="25"/>
      <c r="O23" s="25"/>
      <c r="P23" s="25"/>
      <c r="Q23" s="12" t="s">
        <v>72</v>
      </c>
      <c r="R23" s="9"/>
    </row>
    <row r="24" spans="1:18" x14ac:dyDescent="0.2">
      <c r="A24" s="114" t="s">
        <v>73</v>
      </c>
      <c r="B24" s="114" t="s">
        <v>74</v>
      </c>
      <c r="C24" s="4" t="s">
        <v>19</v>
      </c>
      <c r="D24" s="7" t="s">
        <v>75</v>
      </c>
      <c r="E24" s="25" t="s">
        <v>21</v>
      </c>
      <c r="F24" s="25" t="s">
        <v>21</v>
      </c>
      <c r="G24" s="25" t="s">
        <v>21</v>
      </c>
      <c r="H24" s="25" t="s">
        <v>21</v>
      </c>
      <c r="I24" s="25" t="s">
        <v>21</v>
      </c>
      <c r="J24" s="25"/>
      <c r="K24" s="25"/>
      <c r="L24" s="25"/>
      <c r="M24" s="25"/>
      <c r="N24" s="25"/>
      <c r="O24" s="25"/>
      <c r="P24" s="25"/>
      <c r="Q24" s="4"/>
      <c r="R24" s="9"/>
    </row>
    <row r="25" spans="1:18" x14ac:dyDescent="0.2">
      <c r="A25" s="110"/>
      <c r="B25" s="110"/>
      <c r="C25" s="4" t="s">
        <v>41</v>
      </c>
      <c r="D25" s="7" t="s">
        <v>76</v>
      </c>
      <c r="E25" s="25" t="s">
        <v>21</v>
      </c>
      <c r="F25" s="25" t="s">
        <v>21</v>
      </c>
      <c r="G25" s="25" t="s">
        <v>21</v>
      </c>
      <c r="H25" s="25" t="s">
        <v>21</v>
      </c>
      <c r="I25" s="25"/>
      <c r="J25" s="25"/>
      <c r="K25" s="25"/>
      <c r="L25" s="25"/>
      <c r="M25" s="25"/>
      <c r="N25" s="25"/>
      <c r="O25" s="25"/>
      <c r="P25" s="25"/>
      <c r="Q25" s="4"/>
      <c r="R25" s="9"/>
    </row>
    <row r="26" spans="1:18" ht="38.25" customHeight="1" x14ac:dyDescent="0.2">
      <c r="A26" s="108" t="s">
        <v>77</v>
      </c>
      <c r="B26" s="21" t="s">
        <v>78</v>
      </c>
      <c r="C26" s="4" t="s">
        <v>79</v>
      </c>
      <c r="D26" s="5">
        <v>2928507</v>
      </c>
      <c r="E26" s="25" t="s">
        <v>43</v>
      </c>
      <c r="F26" s="25" t="s">
        <v>43</v>
      </c>
      <c r="G26" s="25" t="s">
        <v>43</v>
      </c>
      <c r="H26" s="25" t="s">
        <v>43</v>
      </c>
      <c r="I26" s="25" t="s">
        <v>43</v>
      </c>
      <c r="J26" s="25"/>
      <c r="K26" s="25"/>
      <c r="L26" s="25"/>
      <c r="M26" s="25"/>
      <c r="N26" s="25"/>
      <c r="O26" s="25"/>
      <c r="P26" s="25"/>
      <c r="Q26" s="12" t="s">
        <v>80</v>
      </c>
    </row>
    <row r="27" spans="1:18" ht="26.25" customHeight="1" x14ac:dyDescent="0.2">
      <c r="A27" s="110"/>
      <c r="B27" s="21" t="s">
        <v>78</v>
      </c>
      <c r="C27" s="4" t="s">
        <v>33</v>
      </c>
      <c r="D27" s="7" t="s">
        <v>81</v>
      </c>
      <c r="E27" s="25" t="s">
        <v>21</v>
      </c>
      <c r="F27" s="25" t="s">
        <v>21</v>
      </c>
      <c r="G27" s="25" t="s">
        <v>21</v>
      </c>
      <c r="H27" s="25" t="s">
        <v>21</v>
      </c>
      <c r="I27" s="25" t="s">
        <v>21</v>
      </c>
      <c r="J27" s="25"/>
      <c r="K27" s="25"/>
      <c r="L27" s="25"/>
      <c r="M27" s="25"/>
      <c r="N27" s="25"/>
      <c r="O27" s="25"/>
      <c r="P27" s="25"/>
      <c r="Q27" s="13"/>
      <c r="R27" s="10"/>
    </row>
    <row r="28" spans="1:18" x14ac:dyDescent="0.2">
      <c r="A28" s="3" t="s">
        <v>82</v>
      </c>
      <c r="B28" s="3" t="s">
        <v>82</v>
      </c>
      <c r="C28" s="4" t="s">
        <v>83</v>
      </c>
      <c r="D28" s="5" t="s">
        <v>84</v>
      </c>
      <c r="E28" s="25" t="s">
        <v>21</v>
      </c>
      <c r="F28" s="25" t="s">
        <v>21</v>
      </c>
      <c r="G28" s="25" t="s">
        <v>21</v>
      </c>
      <c r="H28" s="25" t="s">
        <v>21</v>
      </c>
      <c r="I28" s="25" t="s">
        <v>21</v>
      </c>
      <c r="J28" s="104" t="s">
        <v>43</v>
      </c>
      <c r="K28" s="104" t="s">
        <v>43</v>
      </c>
      <c r="L28" s="104" t="s">
        <v>43</v>
      </c>
      <c r="M28" s="104" t="s">
        <v>43</v>
      </c>
      <c r="N28" s="104" t="s">
        <v>43</v>
      </c>
      <c r="O28" s="104" t="s">
        <v>43</v>
      </c>
      <c r="P28" s="104" t="s">
        <v>43</v>
      </c>
      <c r="Q28" s="12"/>
    </row>
    <row r="29" spans="1:18" ht="12.75" customHeight="1" x14ac:dyDescent="0.2">
      <c r="A29" s="114" t="s">
        <v>85</v>
      </c>
      <c r="B29" s="114" t="s">
        <v>86</v>
      </c>
      <c r="C29" s="4" t="s">
        <v>19</v>
      </c>
      <c r="D29" s="5" t="s">
        <v>87</v>
      </c>
      <c r="E29" s="25" t="s">
        <v>21</v>
      </c>
      <c r="F29" s="25" t="s">
        <v>21</v>
      </c>
      <c r="G29" s="25" t="s">
        <v>21</v>
      </c>
      <c r="H29" s="25" t="s">
        <v>21</v>
      </c>
      <c r="I29" s="25" t="s">
        <v>21</v>
      </c>
      <c r="J29" s="25"/>
      <c r="K29" s="25"/>
      <c r="L29" s="25"/>
      <c r="M29" s="25"/>
      <c r="N29" s="25"/>
      <c r="O29" s="25"/>
      <c r="P29" s="25"/>
      <c r="Q29" s="4"/>
    </row>
    <row r="30" spans="1:18" x14ac:dyDescent="0.2">
      <c r="A30" s="109"/>
      <c r="B30" s="109"/>
      <c r="C30" s="4" t="s">
        <v>88</v>
      </c>
      <c r="D30" s="5" t="s">
        <v>89</v>
      </c>
      <c r="E30" s="25" t="s">
        <v>21</v>
      </c>
      <c r="F30" s="25" t="s">
        <v>21</v>
      </c>
      <c r="G30" s="25" t="s">
        <v>21</v>
      </c>
      <c r="H30" s="25" t="s">
        <v>21</v>
      </c>
      <c r="I30" s="25" t="s">
        <v>21</v>
      </c>
      <c r="J30" s="25"/>
      <c r="K30" s="25"/>
      <c r="L30" s="25"/>
      <c r="M30" s="25"/>
      <c r="N30" s="25"/>
      <c r="O30" s="25"/>
      <c r="P30" s="25"/>
      <c r="Q30" s="4"/>
    </row>
    <row r="31" spans="1:18" x14ac:dyDescent="0.2">
      <c r="A31" s="109"/>
      <c r="B31" s="109"/>
      <c r="C31" s="4" t="s">
        <v>88</v>
      </c>
      <c r="D31" s="5" t="s">
        <v>90</v>
      </c>
      <c r="E31" s="25" t="s">
        <v>21</v>
      </c>
      <c r="F31" s="25" t="s">
        <v>21</v>
      </c>
      <c r="G31" s="25" t="s">
        <v>21</v>
      </c>
      <c r="H31" s="25" t="s">
        <v>21</v>
      </c>
      <c r="I31" s="25" t="s">
        <v>21</v>
      </c>
      <c r="J31" s="25"/>
      <c r="K31" s="25"/>
      <c r="L31" s="25"/>
      <c r="M31" s="25"/>
      <c r="N31" s="25"/>
      <c r="O31" s="25"/>
      <c r="P31" s="25"/>
      <c r="Q31" s="4"/>
    </row>
    <row r="32" spans="1:18" x14ac:dyDescent="0.2">
      <c r="A32" s="110"/>
      <c r="B32" s="110"/>
      <c r="C32" s="4" t="s">
        <v>88</v>
      </c>
      <c r="D32" s="5" t="s">
        <v>91</v>
      </c>
      <c r="E32" s="25" t="s">
        <v>21</v>
      </c>
      <c r="F32" s="25" t="s">
        <v>21</v>
      </c>
      <c r="G32" s="25" t="s">
        <v>21</v>
      </c>
      <c r="H32" s="25" t="s">
        <v>21</v>
      </c>
      <c r="I32" s="25" t="s">
        <v>21</v>
      </c>
      <c r="J32" s="25"/>
      <c r="K32" s="25"/>
      <c r="L32" s="25"/>
      <c r="M32" s="25"/>
      <c r="N32" s="25"/>
      <c r="O32" s="25"/>
      <c r="P32" s="25"/>
      <c r="Q32" s="4"/>
    </row>
    <row r="33" spans="1:17" x14ac:dyDescent="0.2">
      <c r="A33" s="3" t="s">
        <v>92</v>
      </c>
      <c r="B33" s="3" t="s">
        <v>93</v>
      </c>
      <c r="C33" s="4" t="s">
        <v>22</v>
      </c>
      <c r="D33" s="5">
        <v>503984</v>
      </c>
      <c r="E33" s="25" t="s">
        <v>21</v>
      </c>
      <c r="F33" s="25" t="s">
        <v>21</v>
      </c>
      <c r="G33" s="25" t="s">
        <v>21</v>
      </c>
      <c r="H33" s="25" t="s">
        <v>21</v>
      </c>
      <c r="I33" s="25"/>
      <c r="J33" s="25"/>
      <c r="K33" s="25"/>
      <c r="L33" s="25"/>
      <c r="M33" s="25"/>
      <c r="N33" s="25"/>
      <c r="O33" s="25"/>
      <c r="P33" s="25"/>
      <c r="Q33" s="4"/>
    </row>
    <row r="34" spans="1:17" x14ac:dyDescent="0.2">
      <c r="A34" s="3" t="s">
        <v>94</v>
      </c>
      <c r="B34" s="3" t="s">
        <v>95</v>
      </c>
      <c r="C34" s="4" t="s">
        <v>96</v>
      </c>
      <c r="D34" s="5" t="s">
        <v>97</v>
      </c>
      <c r="E34" s="25" t="s">
        <v>21</v>
      </c>
      <c r="F34" s="25" t="s">
        <v>21</v>
      </c>
      <c r="G34" s="25" t="s">
        <v>21</v>
      </c>
      <c r="H34" s="25" t="s">
        <v>21</v>
      </c>
      <c r="I34" s="25" t="s">
        <v>21</v>
      </c>
      <c r="J34" s="25"/>
      <c r="K34" s="25"/>
      <c r="L34" s="25"/>
      <c r="M34" s="25"/>
      <c r="N34" s="25"/>
      <c r="O34" s="25"/>
      <c r="P34" s="25"/>
      <c r="Q34" s="4"/>
    </row>
    <row r="35" spans="1:17" ht="15" customHeight="1" x14ac:dyDescent="0.2">
      <c r="A35" s="33" t="s">
        <v>98</v>
      </c>
      <c r="B35" s="33" t="s">
        <v>99</v>
      </c>
      <c r="C35" s="34" t="s">
        <v>33</v>
      </c>
      <c r="D35" s="7" t="s">
        <v>100</v>
      </c>
      <c r="E35" s="25" t="s">
        <v>21</v>
      </c>
      <c r="F35" s="25" t="s">
        <v>21</v>
      </c>
      <c r="G35" s="25" t="s">
        <v>21</v>
      </c>
      <c r="H35" s="25" t="s">
        <v>21</v>
      </c>
      <c r="I35" s="25" t="s">
        <v>21</v>
      </c>
      <c r="J35" s="25"/>
      <c r="K35" s="25"/>
      <c r="L35" s="25"/>
      <c r="M35" s="25"/>
      <c r="N35" s="25"/>
      <c r="O35" s="25"/>
      <c r="P35" s="25"/>
      <c r="Q35" s="13"/>
    </row>
    <row r="36" spans="1:17" x14ac:dyDescent="0.2">
      <c r="A36" s="108" t="s">
        <v>101</v>
      </c>
      <c r="B36" s="108" t="s">
        <v>102</v>
      </c>
      <c r="C36" s="4" t="s">
        <v>103</v>
      </c>
      <c r="D36" s="5">
        <v>778608653</v>
      </c>
      <c r="E36" s="25" t="s">
        <v>21</v>
      </c>
      <c r="F36" s="25" t="s">
        <v>21</v>
      </c>
      <c r="G36" s="25" t="s">
        <v>21</v>
      </c>
      <c r="H36" s="25" t="s">
        <v>21</v>
      </c>
      <c r="I36" s="25"/>
      <c r="J36" s="25"/>
      <c r="K36" s="25"/>
      <c r="L36" s="25"/>
      <c r="M36" s="25"/>
      <c r="N36" s="25"/>
      <c r="O36" s="25"/>
      <c r="P36" s="25"/>
      <c r="Q36" s="4"/>
    </row>
    <row r="37" spans="1:17" x14ac:dyDescent="0.2">
      <c r="A37" s="110"/>
      <c r="B37" s="110"/>
      <c r="C37" s="4" t="s">
        <v>104</v>
      </c>
      <c r="D37" s="5">
        <v>277954350</v>
      </c>
      <c r="E37" s="25" t="s">
        <v>21</v>
      </c>
      <c r="F37" s="25" t="s">
        <v>21</v>
      </c>
      <c r="G37" s="25" t="s">
        <v>21</v>
      </c>
      <c r="H37" s="25" t="s">
        <v>21</v>
      </c>
      <c r="I37" s="25"/>
      <c r="J37" s="25"/>
      <c r="K37" s="25"/>
      <c r="L37" s="25"/>
      <c r="M37" s="25"/>
      <c r="N37" s="25"/>
      <c r="O37" s="25"/>
      <c r="P37" s="25"/>
      <c r="Q37" s="4"/>
    </row>
    <row r="38" spans="1:17" ht="25.5" x14ac:dyDescent="0.2">
      <c r="A38" s="3" t="s">
        <v>105</v>
      </c>
      <c r="B38" s="3" t="s">
        <v>106</v>
      </c>
      <c r="C38" s="4" t="s">
        <v>107</v>
      </c>
      <c r="D38" s="5">
        <v>9702</v>
      </c>
      <c r="E38" s="25" t="s">
        <v>43</v>
      </c>
      <c r="F38" s="25" t="s">
        <v>43</v>
      </c>
      <c r="G38" s="25" t="s">
        <v>43</v>
      </c>
      <c r="H38" s="25" t="s">
        <v>43</v>
      </c>
      <c r="I38" s="25" t="s">
        <v>43</v>
      </c>
      <c r="J38" s="25"/>
      <c r="K38" s="25"/>
      <c r="L38" s="25"/>
      <c r="M38" s="25"/>
      <c r="N38" s="25"/>
      <c r="O38" s="25"/>
      <c r="P38" s="25"/>
      <c r="Q38" s="12" t="s">
        <v>108</v>
      </c>
    </row>
    <row r="39" spans="1:17" x14ac:dyDescent="0.2">
      <c r="A39" s="108" t="s">
        <v>109</v>
      </c>
      <c r="B39" s="108" t="s">
        <v>110</v>
      </c>
      <c r="C39" s="4" t="s">
        <v>22</v>
      </c>
      <c r="D39" s="5">
        <v>504069.00099999999</v>
      </c>
      <c r="E39" s="25" t="s">
        <v>21</v>
      </c>
      <c r="F39" s="25" t="s">
        <v>21</v>
      </c>
      <c r="G39" s="25" t="s">
        <v>21</v>
      </c>
      <c r="H39" s="25" t="s">
        <v>21</v>
      </c>
      <c r="I39" s="25" t="s">
        <v>21</v>
      </c>
      <c r="J39" s="25"/>
      <c r="K39" s="25"/>
      <c r="L39" s="25"/>
      <c r="M39" s="25"/>
      <c r="N39" s="25"/>
      <c r="O39" s="25"/>
      <c r="P39" s="25"/>
      <c r="Q39" s="4"/>
    </row>
    <row r="40" spans="1:17" x14ac:dyDescent="0.2">
      <c r="A40" s="109"/>
      <c r="B40" s="109"/>
      <c r="C40" s="4" t="s">
        <v>22</v>
      </c>
      <c r="D40" s="5">
        <v>504069.00199999998</v>
      </c>
      <c r="E40" s="25" t="s">
        <v>21</v>
      </c>
      <c r="F40" s="25" t="s">
        <v>21</v>
      </c>
      <c r="G40" s="25" t="s">
        <v>21</v>
      </c>
      <c r="H40" s="25" t="s">
        <v>21</v>
      </c>
      <c r="I40" s="25" t="s">
        <v>21</v>
      </c>
      <c r="J40" s="25"/>
      <c r="K40" s="25"/>
      <c r="L40" s="25"/>
      <c r="M40" s="25"/>
      <c r="N40" s="25"/>
      <c r="O40" s="25"/>
      <c r="P40" s="25"/>
      <c r="Q40" s="4"/>
    </row>
    <row r="41" spans="1:17" x14ac:dyDescent="0.2">
      <c r="A41" s="110"/>
      <c r="B41" s="110"/>
      <c r="C41" s="4" t="s">
        <v>22</v>
      </c>
      <c r="D41" s="5">
        <v>504069.00300000003</v>
      </c>
      <c r="E41" s="25" t="s">
        <v>21</v>
      </c>
      <c r="F41" s="25" t="s">
        <v>21</v>
      </c>
      <c r="G41" s="25" t="s">
        <v>21</v>
      </c>
      <c r="H41" s="25" t="s">
        <v>21</v>
      </c>
      <c r="I41" s="25" t="s">
        <v>21</v>
      </c>
      <c r="J41" s="25"/>
      <c r="K41" s="25"/>
      <c r="L41" s="25"/>
      <c r="M41" s="25"/>
      <c r="N41" s="25"/>
      <c r="O41" s="25"/>
      <c r="P41" s="25"/>
      <c r="Q41" s="4"/>
    </row>
    <row r="42" spans="1:17" x14ac:dyDescent="0.2">
      <c r="A42" s="3" t="s">
        <v>111</v>
      </c>
      <c r="B42" s="3" t="s">
        <v>112</v>
      </c>
      <c r="C42" s="4" t="s">
        <v>22</v>
      </c>
      <c r="D42" s="5">
        <v>504088.00099999999</v>
      </c>
      <c r="E42" s="25" t="s">
        <v>21</v>
      </c>
      <c r="F42" s="25" t="s">
        <v>21</v>
      </c>
      <c r="G42" s="25" t="s">
        <v>21</v>
      </c>
      <c r="H42" s="25" t="s">
        <v>21</v>
      </c>
      <c r="I42" s="25" t="s">
        <v>21</v>
      </c>
      <c r="J42" s="25"/>
      <c r="K42" s="25"/>
      <c r="L42" s="25"/>
      <c r="M42" s="25"/>
      <c r="N42" s="25"/>
      <c r="O42" s="25"/>
      <c r="P42" s="25"/>
      <c r="Q42" s="4"/>
    </row>
    <row r="43" spans="1:17" ht="40.5" customHeight="1" x14ac:dyDescent="0.2">
      <c r="A43" s="3" t="s">
        <v>113</v>
      </c>
      <c r="B43" s="3" t="s">
        <v>114</v>
      </c>
      <c r="C43" s="4" t="s">
        <v>115</v>
      </c>
      <c r="D43" s="5" t="s">
        <v>116</v>
      </c>
      <c r="E43" s="25" t="s">
        <v>43</v>
      </c>
      <c r="F43" s="25" t="s">
        <v>43</v>
      </c>
      <c r="G43" s="25" t="s">
        <v>43</v>
      </c>
      <c r="H43" s="25" t="s">
        <v>43</v>
      </c>
      <c r="I43" s="25" t="s">
        <v>43</v>
      </c>
      <c r="J43" s="25"/>
      <c r="K43" s="25"/>
      <c r="L43" s="25"/>
      <c r="M43" s="25"/>
      <c r="N43" s="25"/>
      <c r="O43" s="25"/>
      <c r="P43" s="25"/>
      <c r="Q43" s="13" t="s">
        <v>536</v>
      </c>
    </row>
    <row r="44" spans="1:17" ht="25.5" x14ac:dyDescent="0.2">
      <c r="A44" s="3" t="s">
        <v>117</v>
      </c>
      <c r="B44" s="3" t="s">
        <v>118</v>
      </c>
      <c r="C44" s="4" t="s">
        <v>119</v>
      </c>
      <c r="D44" s="5" t="s">
        <v>120</v>
      </c>
      <c r="E44" s="106" t="s">
        <v>43</v>
      </c>
      <c r="F44" s="106" t="s">
        <v>43</v>
      </c>
      <c r="G44" s="106" t="s">
        <v>43</v>
      </c>
      <c r="H44" s="106" t="s">
        <v>43</v>
      </c>
      <c r="I44" s="106" t="s">
        <v>43</v>
      </c>
      <c r="J44" s="25"/>
      <c r="K44" s="25"/>
      <c r="L44" s="25"/>
      <c r="M44" s="25"/>
      <c r="N44" s="25"/>
      <c r="O44" s="25"/>
      <c r="P44" s="25"/>
      <c r="Q44" s="12" t="s">
        <v>72</v>
      </c>
    </row>
    <row r="45" spans="1:17" x14ac:dyDescent="0.2">
      <c r="A45" s="31" t="s">
        <v>121</v>
      </c>
      <c r="B45" s="31" t="s">
        <v>122</v>
      </c>
      <c r="C45" s="32" t="s">
        <v>33</v>
      </c>
      <c r="D45" s="7" t="s">
        <v>123</v>
      </c>
      <c r="E45" s="25" t="s">
        <v>21</v>
      </c>
      <c r="F45" s="25" t="s">
        <v>21</v>
      </c>
      <c r="G45" s="25" t="s">
        <v>21</v>
      </c>
      <c r="H45" s="25" t="s">
        <v>21</v>
      </c>
      <c r="I45" s="25" t="s">
        <v>21</v>
      </c>
      <c r="J45" s="25"/>
      <c r="K45" s="25"/>
      <c r="L45" s="25"/>
      <c r="M45" s="25"/>
      <c r="N45" s="25"/>
      <c r="O45" s="25"/>
      <c r="P45" s="25"/>
      <c r="Q45" s="13"/>
    </row>
    <row r="46" spans="1:17" ht="15" customHeight="1" x14ac:dyDescent="0.2">
      <c r="A46" s="108" t="s">
        <v>124</v>
      </c>
      <c r="B46" s="108" t="s">
        <v>125</v>
      </c>
      <c r="C46" s="4" t="s">
        <v>38</v>
      </c>
      <c r="D46" s="5">
        <v>25435434</v>
      </c>
      <c r="E46" s="25" t="s">
        <v>21</v>
      </c>
      <c r="F46" s="25" t="s">
        <v>21</v>
      </c>
      <c r="G46" s="25" t="s">
        <v>21</v>
      </c>
      <c r="H46" s="25" t="s">
        <v>21</v>
      </c>
      <c r="I46" s="25"/>
      <c r="J46" s="25"/>
      <c r="K46" s="25"/>
      <c r="L46" s="25"/>
      <c r="M46" s="25"/>
      <c r="N46" s="25"/>
      <c r="O46" s="25"/>
      <c r="P46" s="25"/>
      <c r="Q46" s="12" t="s">
        <v>72</v>
      </c>
    </row>
    <row r="47" spans="1:17" ht="14.25" customHeight="1" x14ac:dyDescent="0.2">
      <c r="A47" s="110"/>
      <c r="B47" s="110"/>
      <c r="C47" s="4" t="s">
        <v>38</v>
      </c>
      <c r="D47" s="5">
        <v>33365318</v>
      </c>
      <c r="E47" s="25" t="s">
        <v>21</v>
      </c>
      <c r="F47" s="25" t="s">
        <v>21</v>
      </c>
      <c r="G47" s="25" t="s">
        <v>21</v>
      </c>
      <c r="H47" s="25" t="s">
        <v>21</v>
      </c>
      <c r="I47" s="25"/>
      <c r="J47" s="25"/>
      <c r="K47" s="25"/>
      <c r="L47" s="25"/>
      <c r="M47" s="25"/>
      <c r="N47" s="25"/>
      <c r="O47" s="25"/>
      <c r="P47" s="25"/>
      <c r="Q47" s="12" t="s">
        <v>72</v>
      </c>
    </row>
    <row r="48" spans="1:17" x14ac:dyDescent="0.2">
      <c r="A48" s="124" t="s">
        <v>126</v>
      </c>
      <c r="B48" s="124" t="s">
        <v>127</v>
      </c>
      <c r="C48" s="4" t="s">
        <v>128</v>
      </c>
      <c r="D48" s="7" t="s">
        <v>129</v>
      </c>
      <c r="E48" s="25" t="s">
        <v>21</v>
      </c>
      <c r="F48" s="25" t="s">
        <v>21</v>
      </c>
      <c r="G48" s="25" t="s">
        <v>21</v>
      </c>
      <c r="H48" s="25" t="s">
        <v>21</v>
      </c>
      <c r="I48" s="25"/>
      <c r="J48" s="25"/>
      <c r="K48" s="25"/>
      <c r="L48" s="25"/>
      <c r="M48" s="25"/>
      <c r="N48" s="25"/>
      <c r="O48" s="25"/>
      <c r="P48" s="25"/>
      <c r="Q48" s="4"/>
    </row>
    <row r="49" spans="1:17" x14ac:dyDescent="0.2">
      <c r="A49" s="125"/>
      <c r="B49" s="125"/>
      <c r="C49" s="4" t="s">
        <v>96</v>
      </c>
      <c r="D49" s="5" t="s">
        <v>130</v>
      </c>
      <c r="E49" s="25" t="s">
        <v>21</v>
      </c>
      <c r="F49" s="25" t="s">
        <v>21</v>
      </c>
      <c r="G49" s="25" t="s">
        <v>21</v>
      </c>
      <c r="H49" s="25" t="s">
        <v>21</v>
      </c>
      <c r="I49" s="25" t="s">
        <v>21</v>
      </c>
      <c r="J49" s="25"/>
      <c r="K49" s="25"/>
      <c r="L49" s="25"/>
      <c r="M49" s="25"/>
      <c r="N49" s="25"/>
      <c r="O49" s="25"/>
      <c r="P49" s="25"/>
      <c r="Q49" s="11"/>
    </row>
    <row r="50" spans="1:17" x14ac:dyDescent="0.2">
      <c r="A50" s="3" t="s">
        <v>131</v>
      </c>
      <c r="B50" s="3" t="s">
        <v>132</v>
      </c>
      <c r="C50" s="4" t="s">
        <v>41</v>
      </c>
      <c r="D50" s="7" t="s">
        <v>133</v>
      </c>
      <c r="E50" s="25" t="s">
        <v>21</v>
      </c>
      <c r="F50" s="25" t="s">
        <v>21</v>
      </c>
      <c r="G50" s="25" t="s">
        <v>21</v>
      </c>
      <c r="H50" s="25" t="s">
        <v>21</v>
      </c>
      <c r="I50" s="25" t="s">
        <v>21</v>
      </c>
      <c r="J50" s="25"/>
      <c r="K50" s="25"/>
      <c r="L50" s="25"/>
      <c r="M50" s="25"/>
      <c r="N50" s="25"/>
      <c r="O50" s="25"/>
      <c r="P50" s="25"/>
      <c r="Q50" s="11"/>
    </row>
    <row r="51" spans="1:17" x14ac:dyDescent="0.2">
      <c r="A51" s="3" t="s">
        <v>134</v>
      </c>
      <c r="B51" s="3" t="s">
        <v>135</v>
      </c>
      <c r="C51" s="4" t="s">
        <v>88</v>
      </c>
      <c r="D51" s="5" t="s">
        <v>136</v>
      </c>
      <c r="E51" s="25" t="s">
        <v>21</v>
      </c>
      <c r="F51" s="25" t="s">
        <v>21</v>
      </c>
      <c r="G51" s="25" t="s">
        <v>21</v>
      </c>
      <c r="H51" s="25" t="s">
        <v>21</v>
      </c>
      <c r="I51" s="106" t="s">
        <v>43</v>
      </c>
      <c r="J51" s="106" t="s">
        <v>43</v>
      </c>
      <c r="K51" s="106" t="s">
        <v>43</v>
      </c>
      <c r="L51" s="106" t="s">
        <v>43</v>
      </c>
      <c r="M51" s="106" t="s">
        <v>43</v>
      </c>
      <c r="N51" s="106" t="s">
        <v>43</v>
      </c>
      <c r="O51" s="106" t="s">
        <v>43</v>
      </c>
      <c r="P51" s="106" t="s">
        <v>43</v>
      </c>
      <c r="Q51" s="4"/>
    </row>
    <row r="52" spans="1:17" ht="25.5" x14ac:dyDescent="0.2">
      <c r="A52" s="21" t="s">
        <v>137</v>
      </c>
      <c r="B52" s="21" t="s">
        <v>138</v>
      </c>
      <c r="C52" s="12" t="s">
        <v>139</v>
      </c>
      <c r="D52" s="14" t="s">
        <v>140</v>
      </c>
      <c r="E52" s="25" t="s">
        <v>21</v>
      </c>
      <c r="F52" s="25" t="s">
        <v>21</v>
      </c>
      <c r="G52" s="25" t="s">
        <v>21</v>
      </c>
      <c r="H52" s="25" t="s">
        <v>21</v>
      </c>
      <c r="I52" s="25"/>
      <c r="J52" s="25"/>
      <c r="K52" s="25"/>
      <c r="L52" s="25"/>
      <c r="M52" s="25"/>
      <c r="N52" s="25"/>
      <c r="O52" s="25"/>
      <c r="P52" s="25"/>
      <c r="Q52" s="12" t="s">
        <v>72</v>
      </c>
    </row>
    <row r="53" spans="1:17" x14ac:dyDescent="0.2">
      <c r="A53" s="108" t="s">
        <v>141</v>
      </c>
      <c r="B53" s="108" t="s">
        <v>142</v>
      </c>
      <c r="C53" s="12" t="s">
        <v>143</v>
      </c>
      <c r="D53" s="14" t="s">
        <v>144</v>
      </c>
      <c r="E53" s="25" t="s">
        <v>21</v>
      </c>
      <c r="F53" s="25" t="s">
        <v>21</v>
      </c>
      <c r="G53" s="25" t="s">
        <v>21</v>
      </c>
      <c r="H53" s="25" t="s">
        <v>21</v>
      </c>
      <c r="I53" s="25" t="s">
        <v>21</v>
      </c>
      <c r="J53" s="25"/>
      <c r="K53" s="25"/>
      <c r="L53" s="25"/>
      <c r="M53" s="25"/>
      <c r="N53" s="25"/>
      <c r="O53" s="25"/>
      <c r="P53" s="25"/>
      <c r="Q53" s="20"/>
    </row>
    <row r="54" spans="1:17" x14ac:dyDescent="0.2">
      <c r="A54" s="109"/>
      <c r="B54" s="109"/>
      <c r="C54" s="12" t="s">
        <v>119</v>
      </c>
      <c r="D54" s="14" t="s">
        <v>145</v>
      </c>
      <c r="E54" s="25" t="s">
        <v>21</v>
      </c>
      <c r="F54" s="25" t="s">
        <v>21</v>
      </c>
      <c r="G54" s="25" t="s">
        <v>21</v>
      </c>
      <c r="H54" s="25" t="s">
        <v>21</v>
      </c>
      <c r="I54" s="25" t="s">
        <v>21</v>
      </c>
      <c r="J54" s="25"/>
      <c r="K54" s="25"/>
      <c r="L54" s="25"/>
      <c r="M54" s="25"/>
      <c r="N54" s="25"/>
      <c r="O54" s="25"/>
      <c r="P54" s="25"/>
      <c r="Q54" s="20"/>
    </row>
    <row r="55" spans="1:17" x14ac:dyDescent="0.2">
      <c r="A55" s="110"/>
      <c r="B55" s="110"/>
      <c r="C55" s="12" t="s">
        <v>146</v>
      </c>
      <c r="D55" s="14" t="s">
        <v>147</v>
      </c>
      <c r="E55" s="25" t="s">
        <v>21</v>
      </c>
      <c r="F55" s="25" t="s">
        <v>21</v>
      </c>
      <c r="G55" s="25" t="s">
        <v>21</v>
      </c>
      <c r="H55" s="25" t="s">
        <v>21</v>
      </c>
      <c r="I55" s="25" t="s">
        <v>21</v>
      </c>
      <c r="J55" s="25"/>
      <c r="K55" s="25"/>
      <c r="L55" s="25"/>
      <c r="M55" s="25"/>
      <c r="N55" s="25"/>
      <c r="O55" s="25"/>
      <c r="P55" s="25"/>
      <c r="Q55" s="20"/>
    </row>
    <row r="56" spans="1:17" x14ac:dyDescent="0.2">
      <c r="A56" s="33" t="s">
        <v>148</v>
      </c>
      <c r="B56" s="33" t="s">
        <v>149</v>
      </c>
      <c r="C56" s="21" t="s">
        <v>96</v>
      </c>
      <c r="D56" s="14" t="s">
        <v>150</v>
      </c>
      <c r="E56" s="25" t="s">
        <v>21</v>
      </c>
      <c r="F56" s="25" t="s">
        <v>21</v>
      </c>
      <c r="G56" s="25" t="s">
        <v>21</v>
      </c>
      <c r="H56" s="25" t="s">
        <v>21</v>
      </c>
      <c r="I56" s="25" t="s">
        <v>21</v>
      </c>
      <c r="J56" s="25"/>
      <c r="K56" s="25"/>
      <c r="L56" s="25"/>
      <c r="M56" s="25"/>
      <c r="N56" s="25"/>
      <c r="O56" s="25"/>
      <c r="P56" s="25"/>
      <c r="Q56" s="20"/>
    </row>
    <row r="57" spans="1:17" x14ac:dyDescent="0.2">
      <c r="A57" s="21" t="s">
        <v>151</v>
      </c>
      <c r="B57" s="21"/>
      <c r="C57" s="12" t="s">
        <v>41</v>
      </c>
      <c r="D57" s="14" t="s">
        <v>152</v>
      </c>
      <c r="E57" s="25" t="s">
        <v>21</v>
      </c>
      <c r="F57" s="25" t="s">
        <v>21</v>
      </c>
      <c r="G57" s="106" t="s">
        <v>43</v>
      </c>
      <c r="H57" s="106" t="s">
        <v>43</v>
      </c>
      <c r="I57" s="106" t="s">
        <v>43</v>
      </c>
      <c r="J57" s="25"/>
      <c r="K57" s="25"/>
      <c r="L57" s="25"/>
      <c r="M57" s="25"/>
      <c r="N57" s="25"/>
      <c r="O57" s="25"/>
      <c r="P57" s="25"/>
      <c r="Q57" s="20"/>
    </row>
    <row r="58" spans="1:17" x14ac:dyDescent="0.2">
      <c r="A58" s="108" t="s">
        <v>153</v>
      </c>
      <c r="B58" s="38" t="s">
        <v>154</v>
      </c>
      <c r="C58" s="4" t="s">
        <v>33</v>
      </c>
      <c r="D58" s="5" t="s">
        <v>155</v>
      </c>
      <c r="E58" s="25" t="s">
        <v>21</v>
      </c>
      <c r="F58" s="25" t="s">
        <v>21</v>
      </c>
      <c r="G58" s="25" t="s">
        <v>21</v>
      </c>
      <c r="H58" s="25" t="s">
        <v>21</v>
      </c>
      <c r="I58" s="25" t="s">
        <v>21</v>
      </c>
      <c r="J58" s="25"/>
      <c r="K58" s="25"/>
      <c r="L58" s="25"/>
      <c r="M58" s="25"/>
      <c r="N58" s="25"/>
      <c r="O58" s="25"/>
      <c r="P58" s="25"/>
      <c r="Q58" s="21"/>
    </row>
    <row r="59" spans="1:17" x14ac:dyDescent="0.2">
      <c r="A59" s="109"/>
      <c r="B59" s="39"/>
      <c r="C59" s="4" t="s">
        <v>33</v>
      </c>
      <c r="D59" s="5" t="s">
        <v>156</v>
      </c>
      <c r="E59" s="25" t="s">
        <v>21</v>
      </c>
      <c r="F59" s="25" t="s">
        <v>21</v>
      </c>
      <c r="G59" s="25" t="s">
        <v>21</v>
      </c>
      <c r="H59" s="25" t="s">
        <v>21</v>
      </c>
      <c r="I59" s="25" t="s">
        <v>21</v>
      </c>
      <c r="J59" s="25"/>
      <c r="K59" s="25"/>
      <c r="L59" s="25"/>
      <c r="M59" s="25"/>
      <c r="N59" s="25"/>
      <c r="O59" s="25"/>
      <c r="P59" s="25"/>
      <c r="Q59" s="21"/>
    </row>
    <row r="60" spans="1:17" x14ac:dyDescent="0.2">
      <c r="A60" s="109"/>
      <c r="B60" s="39"/>
      <c r="C60" s="4" t="s">
        <v>157</v>
      </c>
      <c r="D60" s="14" t="s">
        <v>158</v>
      </c>
      <c r="E60" s="25" t="s">
        <v>21</v>
      </c>
      <c r="F60" s="25" t="s">
        <v>21</v>
      </c>
      <c r="G60" s="25" t="s">
        <v>21</v>
      </c>
      <c r="H60" s="25" t="s">
        <v>21</v>
      </c>
      <c r="I60" s="25" t="s">
        <v>21</v>
      </c>
      <c r="J60" s="25"/>
      <c r="K60" s="25"/>
      <c r="L60" s="25"/>
      <c r="M60" s="25"/>
      <c r="N60" s="25"/>
      <c r="O60" s="25"/>
      <c r="P60" s="25"/>
      <c r="Q60" s="21"/>
    </row>
    <row r="61" spans="1:17" x14ac:dyDescent="0.2">
      <c r="A61" s="109"/>
      <c r="B61" s="39"/>
      <c r="C61" s="4" t="s">
        <v>159</v>
      </c>
      <c r="D61" s="5" t="s">
        <v>160</v>
      </c>
      <c r="E61" s="25" t="s">
        <v>21</v>
      </c>
      <c r="F61" s="25" t="s">
        <v>21</v>
      </c>
      <c r="G61" s="25" t="s">
        <v>21</v>
      </c>
      <c r="H61" s="25" t="s">
        <v>21</v>
      </c>
      <c r="I61" s="25" t="s">
        <v>21</v>
      </c>
      <c r="J61" s="25"/>
      <c r="K61" s="25"/>
      <c r="L61" s="25"/>
      <c r="M61" s="25"/>
      <c r="N61" s="25"/>
      <c r="O61" s="25"/>
      <c r="P61" s="25"/>
      <c r="Q61" s="21"/>
    </row>
    <row r="62" spans="1:17" x14ac:dyDescent="0.2">
      <c r="A62" s="110"/>
      <c r="B62" s="101"/>
      <c r="C62" s="4" t="s">
        <v>161</v>
      </c>
      <c r="D62" s="5">
        <v>32822448</v>
      </c>
      <c r="E62" s="25" t="s">
        <v>21</v>
      </c>
      <c r="F62" s="25" t="s">
        <v>21</v>
      </c>
      <c r="G62" s="25" t="s">
        <v>21</v>
      </c>
      <c r="H62" s="25" t="s">
        <v>21</v>
      </c>
      <c r="I62" s="25" t="s">
        <v>21</v>
      </c>
      <c r="J62" s="25"/>
      <c r="K62" s="25"/>
      <c r="L62" s="25"/>
      <c r="M62" s="25"/>
      <c r="N62" s="25"/>
      <c r="O62" s="25"/>
      <c r="P62" s="25"/>
      <c r="Q62" s="21"/>
    </row>
    <row r="63" spans="1:17" x14ac:dyDescent="0.2">
      <c r="A63" s="115" t="s">
        <v>162</v>
      </c>
      <c r="B63" s="115" t="s">
        <v>163</v>
      </c>
      <c r="C63" s="41" t="s">
        <v>164</v>
      </c>
      <c r="D63" s="5" t="s">
        <v>165</v>
      </c>
      <c r="E63" s="25" t="s">
        <v>21</v>
      </c>
      <c r="F63" s="25" t="s">
        <v>21</v>
      </c>
      <c r="G63" s="25" t="s">
        <v>21</v>
      </c>
      <c r="H63" s="25" t="s">
        <v>21</v>
      </c>
      <c r="I63" s="25"/>
      <c r="J63" s="25"/>
      <c r="K63" s="25"/>
      <c r="L63" s="25"/>
      <c r="M63" s="25"/>
      <c r="N63" s="25"/>
      <c r="O63" s="25"/>
      <c r="P63" s="25"/>
      <c r="Q63" s="6"/>
    </row>
    <row r="64" spans="1:17" x14ac:dyDescent="0.2">
      <c r="A64" s="116"/>
      <c r="B64" s="116"/>
      <c r="C64" s="41" t="s">
        <v>166</v>
      </c>
      <c r="D64" s="5" t="s">
        <v>167</v>
      </c>
      <c r="E64" s="25" t="s">
        <v>43</v>
      </c>
      <c r="F64" s="25" t="s">
        <v>21</v>
      </c>
      <c r="G64" s="25" t="s">
        <v>21</v>
      </c>
      <c r="H64" s="25" t="s">
        <v>21</v>
      </c>
      <c r="I64" s="25"/>
      <c r="J64" s="25"/>
      <c r="K64" s="25"/>
      <c r="L64" s="25"/>
      <c r="M64" s="25"/>
      <c r="N64" s="25"/>
      <c r="O64" s="25"/>
      <c r="P64" s="25"/>
      <c r="Q64" s="6"/>
    </row>
    <row r="65" spans="1:17" x14ac:dyDescent="0.2">
      <c r="A65" s="4" t="s">
        <v>168</v>
      </c>
      <c r="B65" s="4"/>
      <c r="C65" s="4" t="s">
        <v>61</v>
      </c>
      <c r="D65" s="5" t="s">
        <v>169</v>
      </c>
      <c r="E65" s="25" t="s">
        <v>43</v>
      </c>
      <c r="F65" s="25" t="s">
        <v>21</v>
      </c>
      <c r="G65" s="25" t="s">
        <v>43</v>
      </c>
      <c r="H65" s="25" t="s">
        <v>43</v>
      </c>
      <c r="I65" s="25" t="s">
        <v>43</v>
      </c>
      <c r="J65" s="25"/>
      <c r="K65" s="25"/>
      <c r="L65" s="25"/>
      <c r="M65" s="25"/>
      <c r="N65" s="25"/>
      <c r="O65" s="25"/>
      <c r="P65" s="25"/>
      <c r="Q65" s="6" t="s">
        <v>170</v>
      </c>
    </row>
    <row r="66" spans="1:17" ht="12.75" customHeight="1" x14ac:dyDescent="0.2">
      <c r="A66" s="111" t="s">
        <v>171</v>
      </c>
      <c r="B66" s="111" t="s">
        <v>172</v>
      </c>
      <c r="C66" s="4" t="s">
        <v>128</v>
      </c>
      <c r="D66" s="5" t="s">
        <v>173</v>
      </c>
      <c r="E66" s="25" t="s">
        <v>21</v>
      </c>
      <c r="F66" s="25" t="s">
        <v>21</v>
      </c>
      <c r="G66" s="25" t="s">
        <v>43</v>
      </c>
      <c r="H66" s="25" t="s">
        <v>43</v>
      </c>
      <c r="I66" s="25" t="s">
        <v>43</v>
      </c>
      <c r="J66" s="25"/>
      <c r="K66" s="25"/>
      <c r="L66" s="25"/>
      <c r="M66" s="25"/>
      <c r="N66" s="25"/>
      <c r="O66" s="25"/>
      <c r="P66" s="25"/>
      <c r="Q66" s="12" t="s">
        <v>72</v>
      </c>
    </row>
    <row r="67" spans="1:17" x14ac:dyDescent="0.2">
      <c r="A67" s="112"/>
      <c r="B67" s="112"/>
      <c r="C67" s="4" t="s">
        <v>33</v>
      </c>
      <c r="D67" s="7" t="s">
        <v>174</v>
      </c>
      <c r="E67" s="25" t="s">
        <v>21</v>
      </c>
      <c r="F67" s="25" t="s">
        <v>21</v>
      </c>
      <c r="G67" s="25" t="s">
        <v>21</v>
      </c>
      <c r="H67" s="25" t="s">
        <v>21</v>
      </c>
      <c r="I67" s="25" t="s">
        <v>21</v>
      </c>
      <c r="J67" s="25"/>
      <c r="K67" s="25"/>
      <c r="L67" s="25"/>
      <c r="M67" s="25"/>
      <c r="N67" s="25"/>
      <c r="O67" s="25"/>
      <c r="P67" s="25"/>
      <c r="Q67" s="6"/>
    </row>
    <row r="68" spans="1:17" x14ac:dyDescent="0.2">
      <c r="A68" s="113"/>
      <c r="B68" s="113"/>
      <c r="C68" s="4" t="s">
        <v>19</v>
      </c>
      <c r="D68" s="5" t="s">
        <v>175</v>
      </c>
      <c r="E68" s="25" t="s">
        <v>21</v>
      </c>
      <c r="F68" s="25" t="s">
        <v>21</v>
      </c>
      <c r="G68" s="25" t="s">
        <v>21</v>
      </c>
      <c r="H68" s="25" t="s">
        <v>21</v>
      </c>
      <c r="I68" s="25" t="s">
        <v>21</v>
      </c>
      <c r="J68" s="25"/>
      <c r="K68" s="25"/>
      <c r="L68" s="25"/>
      <c r="M68" s="25"/>
      <c r="N68" s="25"/>
      <c r="O68" s="25"/>
      <c r="P68" s="25"/>
      <c r="Q68" s="6"/>
    </row>
    <row r="69" spans="1:17" x14ac:dyDescent="0.2">
      <c r="A69" s="4" t="s">
        <v>176</v>
      </c>
      <c r="B69" s="4" t="s">
        <v>177</v>
      </c>
      <c r="C69" s="4" t="s">
        <v>178</v>
      </c>
      <c r="D69" s="5" t="s">
        <v>179</v>
      </c>
      <c r="E69" s="25" t="s">
        <v>21</v>
      </c>
      <c r="F69" s="25" t="s">
        <v>21</v>
      </c>
      <c r="G69" s="25" t="s">
        <v>21</v>
      </c>
      <c r="H69" s="25" t="s">
        <v>21</v>
      </c>
      <c r="I69" s="25" t="s">
        <v>21</v>
      </c>
      <c r="J69" s="25"/>
      <c r="K69" s="25"/>
      <c r="L69" s="25"/>
      <c r="M69" s="25"/>
      <c r="N69" s="25"/>
      <c r="O69" s="25"/>
      <c r="P69" s="25"/>
      <c r="Q69" s="4"/>
    </row>
    <row r="70" spans="1:17" x14ac:dyDescent="0.2">
      <c r="A70" s="4" t="s">
        <v>180</v>
      </c>
      <c r="B70" s="4"/>
      <c r="C70" s="4" t="s">
        <v>41</v>
      </c>
      <c r="D70" s="5" t="s">
        <v>181</v>
      </c>
      <c r="E70" s="25" t="s">
        <v>21</v>
      </c>
      <c r="F70" s="25" t="s">
        <v>21</v>
      </c>
      <c r="G70" s="25" t="s">
        <v>21</v>
      </c>
      <c r="H70" s="106" t="s">
        <v>43</v>
      </c>
      <c r="I70" s="106" t="s">
        <v>43</v>
      </c>
      <c r="J70" s="25"/>
      <c r="K70" s="25"/>
      <c r="L70" s="25"/>
      <c r="M70" s="25"/>
      <c r="N70" s="25"/>
      <c r="O70" s="25"/>
      <c r="P70" s="25"/>
      <c r="Q70" s="4" t="s">
        <v>72</v>
      </c>
    </row>
    <row r="71" spans="1:17" x14ac:dyDescent="0.2">
      <c r="A71" s="4" t="s">
        <v>182</v>
      </c>
      <c r="B71" s="4" t="s">
        <v>183</v>
      </c>
      <c r="C71" s="4" t="s">
        <v>184</v>
      </c>
      <c r="D71" s="5" t="s">
        <v>185</v>
      </c>
      <c r="E71" s="25" t="s">
        <v>21</v>
      </c>
      <c r="F71" s="25" t="s">
        <v>21</v>
      </c>
      <c r="G71" s="25" t="s">
        <v>21</v>
      </c>
      <c r="H71" s="25" t="s">
        <v>21</v>
      </c>
      <c r="I71" s="25" t="s">
        <v>21</v>
      </c>
      <c r="J71" s="25"/>
      <c r="K71" s="25"/>
      <c r="L71" s="25"/>
      <c r="M71" s="25"/>
      <c r="N71" s="25"/>
      <c r="O71" s="25"/>
      <c r="P71" s="25"/>
      <c r="Q71" s="4"/>
    </row>
    <row r="72" spans="1:17" x14ac:dyDescent="0.2">
      <c r="A72" s="111" t="s">
        <v>186</v>
      </c>
      <c r="B72" s="111" t="s">
        <v>187</v>
      </c>
      <c r="C72" s="4" t="s">
        <v>139</v>
      </c>
      <c r="D72" s="40">
        <v>120591750101</v>
      </c>
      <c r="E72" s="25" t="s">
        <v>21</v>
      </c>
      <c r="F72" s="25" t="s">
        <v>21</v>
      </c>
      <c r="G72" s="25" t="s">
        <v>21</v>
      </c>
      <c r="H72" s="25" t="s">
        <v>21</v>
      </c>
      <c r="I72" s="25"/>
      <c r="J72" s="25"/>
      <c r="K72" s="25"/>
      <c r="L72" s="25"/>
      <c r="M72" s="25"/>
      <c r="N72" s="25"/>
      <c r="O72" s="25"/>
      <c r="P72" s="25"/>
      <c r="Q72" s="4"/>
    </row>
    <row r="73" spans="1:17" x14ac:dyDescent="0.2">
      <c r="A73" s="112"/>
      <c r="B73" s="112"/>
      <c r="C73" s="4" t="s">
        <v>139</v>
      </c>
      <c r="D73" s="40">
        <v>120591750101</v>
      </c>
      <c r="E73" s="25" t="s">
        <v>21</v>
      </c>
      <c r="F73" s="25" t="s">
        <v>21</v>
      </c>
      <c r="G73" s="25" t="s">
        <v>21</v>
      </c>
      <c r="H73" s="25" t="s">
        <v>21</v>
      </c>
      <c r="I73" s="25"/>
      <c r="J73" s="25"/>
      <c r="K73" s="25"/>
      <c r="L73" s="25"/>
      <c r="M73" s="25"/>
      <c r="N73" s="25"/>
      <c r="O73" s="25"/>
      <c r="P73" s="25"/>
      <c r="Q73" s="4"/>
    </row>
    <row r="74" spans="1:17" x14ac:dyDescent="0.2">
      <c r="A74" s="113"/>
      <c r="B74" s="113"/>
      <c r="C74" s="4" t="s">
        <v>188</v>
      </c>
      <c r="D74" s="40"/>
      <c r="E74" s="25" t="s">
        <v>21</v>
      </c>
      <c r="F74" s="25" t="s">
        <v>21</v>
      </c>
      <c r="G74" s="25" t="s">
        <v>21</v>
      </c>
      <c r="H74" s="25" t="s">
        <v>21</v>
      </c>
      <c r="I74" s="25"/>
      <c r="J74" s="25"/>
      <c r="K74" s="25"/>
      <c r="L74" s="25"/>
      <c r="M74" s="25"/>
      <c r="N74" s="25"/>
      <c r="O74" s="25"/>
      <c r="P74" s="25"/>
      <c r="Q74" s="4"/>
    </row>
    <row r="75" spans="1:17" x14ac:dyDescent="0.2">
      <c r="A75" s="4" t="s">
        <v>189</v>
      </c>
      <c r="B75" s="4" t="s">
        <v>189</v>
      </c>
      <c r="C75" s="4" t="s">
        <v>41</v>
      </c>
      <c r="D75" s="4" t="s">
        <v>190</v>
      </c>
      <c r="E75" s="25" t="s">
        <v>21</v>
      </c>
      <c r="F75" s="25" t="s">
        <v>21</v>
      </c>
      <c r="G75" s="25" t="s">
        <v>21</v>
      </c>
      <c r="H75" s="25" t="s">
        <v>21</v>
      </c>
      <c r="I75" s="25"/>
      <c r="J75" s="25"/>
      <c r="K75" s="25"/>
      <c r="L75" s="25"/>
      <c r="M75" s="25"/>
      <c r="N75" s="25"/>
      <c r="O75" s="25"/>
      <c r="P75" s="25"/>
      <c r="Q75" s="4"/>
    </row>
    <row r="76" spans="1:17" x14ac:dyDescent="0.2">
      <c r="A76" s="82" t="s">
        <v>191</v>
      </c>
      <c r="B76" s="4" t="s">
        <v>192</v>
      </c>
      <c r="C76" s="4" t="s">
        <v>41</v>
      </c>
      <c r="D76" s="4" t="s">
        <v>193</v>
      </c>
      <c r="E76" s="25" t="s">
        <v>21</v>
      </c>
      <c r="F76" s="25" t="s">
        <v>21</v>
      </c>
      <c r="G76" s="25" t="s">
        <v>21</v>
      </c>
      <c r="H76" s="25" t="s">
        <v>21</v>
      </c>
      <c r="I76" s="25"/>
      <c r="J76" s="25"/>
      <c r="K76" s="25"/>
      <c r="L76" s="25"/>
      <c r="M76" s="25"/>
      <c r="N76" s="25"/>
      <c r="O76" s="25"/>
      <c r="P76" s="25"/>
      <c r="Q76" s="4"/>
    </row>
    <row r="77" spans="1:17" x14ac:dyDescent="0.2">
      <c r="A77" s="111" t="s">
        <v>194</v>
      </c>
      <c r="B77" s="117" t="s">
        <v>195</v>
      </c>
      <c r="C77" s="4" t="s">
        <v>19</v>
      </c>
      <c r="D77" s="5" t="s">
        <v>196</v>
      </c>
      <c r="E77" s="25" t="s">
        <v>21</v>
      </c>
      <c r="F77" s="25" t="s">
        <v>21</v>
      </c>
      <c r="G77" s="25" t="s">
        <v>21</v>
      </c>
      <c r="H77" s="25" t="s">
        <v>21</v>
      </c>
      <c r="I77" s="25"/>
      <c r="J77" s="25"/>
      <c r="K77" s="25"/>
      <c r="L77" s="25"/>
      <c r="M77" s="25"/>
      <c r="N77" s="25"/>
      <c r="O77" s="25"/>
      <c r="P77" s="25"/>
      <c r="Q77" s="6"/>
    </row>
    <row r="78" spans="1:17" x14ac:dyDescent="0.2">
      <c r="A78" s="112"/>
      <c r="B78" s="118"/>
      <c r="C78" s="4" t="s">
        <v>197</v>
      </c>
      <c r="D78" s="5"/>
      <c r="E78" s="25" t="s">
        <v>43</v>
      </c>
      <c r="F78" s="25" t="s">
        <v>43</v>
      </c>
      <c r="G78" s="25" t="s">
        <v>43</v>
      </c>
      <c r="H78" s="25" t="s">
        <v>43</v>
      </c>
      <c r="I78" s="25" t="s">
        <v>43</v>
      </c>
      <c r="J78" s="25"/>
      <c r="K78" s="25"/>
      <c r="L78" s="25"/>
      <c r="M78" s="25"/>
      <c r="N78" s="25"/>
      <c r="O78" s="25"/>
      <c r="P78" s="25"/>
      <c r="Q78" s="6" t="s">
        <v>198</v>
      </c>
    </row>
    <row r="79" spans="1:17" x14ac:dyDescent="0.2">
      <c r="A79" s="113"/>
      <c r="B79" s="119"/>
      <c r="C79" s="4" t="s">
        <v>199</v>
      </c>
      <c r="D79" s="5" t="s">
        <v>200</v>
      </c>
      <c r="E79" s="25" t="s">
        <v>21</v>
      </c>
      <c r="F79" s="25" t="s">
        <v>21</v>
      </c>
      <c r="G79" s="25" t="s">
        <v>21</v>
      </c>
      <c r="H79" s="25" t="s">
        <v>21</v>
      </c>
      <c r="I79" s="25"/>
      <c r="J79" s="25"/>
      <c r="K79" s="25"/>
      <c r="L79" s="25"/>
      <c r="M79" s="25"/>
      <c r="N79" s="25"/>
      <c r="O79" s="25"/>
      <c r="P79" s="25"/>
      <c r="Q79" s="6"/>
    </row>
    <row r="80" spans="1:17" x14ac:dyDescent="0.2">
      <c r="A80" s="111" t="s">
        <v>201</v>
      </c>
      <c r="B80" s="4" t="s">
        <v>202</v>
      </c>
      <c r="C80" s="4" t="s">
        <v>96</v>
      </c>
      <c r="D80" s="5" t="s">
        <v>203</v>
      </c>
      <c r="E80" s="25" t="s">
        <v>21</v>
      </c>
      <c r="F80" s="25" t="s">
        <v>21</v>
      </c>
      <c r="G80" s="25" t="s">
        <v>21</v>
      </c>
      <c r="H80" s="25" t="s">
        <v>21</v>
      </c>
      <c r="I80" s="25"/>
      <c r="J80" s="25"/>
      <c r="K80" s="25"/>
      <c r="L80" s="25"/>
      <c r="M80" s="25"/>
      <c r="N80" s="25"/>
      <c r="O80" s="25"/>
      <c r="P80" s="25"/>
      <c r="Q80" s="6"/>
    </row>
    <row r="81" spans="1:17" x14ac:dyDescent="0.2">
      <c r="A81" s="113"/>
      <c r="B81" s="4" t="s">
        <v>204</v>
      </c>
      <c r="C81" s="4" t="s">
        <v>205</v>
      </c>
      <c r="D81" s="5" t="s">
        <v>206</v>
      </c>
      <c r="E81" s="25" t="s">
        <v>21</v>
      </c>
      <c r="F81" s="25" t="s">
        <v>21</v>
      </c>
      <c r="G81" s="25" t="s">
        <v>21</v>
      </c>
      <c r="H81" s="25" t="s">
        <v>21</v>
      </c>
      <c r="I81" s="25"/>
      <c r="J81" s="25"/>
      <c r="K81" s="25"/>
      <c r="L81" s="25"/>
      <c r="M81" s="25"/>
      <c r="N81" s="25"/>
      <c r="O81" s="25"/>
      <c r="P81" s="25"/>
      <c r="Q81" s="6"/>
    </row>
    <row r="82" spans="1:17" x14ac:dyDescent="0.2">
      <c r="A82" s="111" t="s">
        <v>207</v>
      </c>
      <c r="B82" s="111" t="s">
        <v>208</v>
      </c>
      <c r="C82" s="4" t="s">
        <v>209</v>
      </c>
      <c r="D82" s="5">
        <v>1024833388</v>
      </c>
      <c r="E82" s="25" t="s">
        <v>21</v>
      </c>
      <c r="F82" s="25" t="s">
        <v>21</v>
      </c>
      <c r="G82" s="25" t="s">
        <v>43</v>
      </c>
      <c r="H82" s="25" t="s">
        <v>43</v>
      </c>
      <c r="I82" s="25" t="s">
        <v>43</v>
      </c>
      <c r="J82" s="25"/>
      <c r="K82" s="25"/>
      <c r="L82" s="25"/>
      <c r="M82" s="25"/>
      <c r="N82" s="25"/>
      <c r="O82" s="25"/>
      <c r="P82" s="25"/>
      <c r="Q82" s="6" t="s">
        <v>210</v>
      </c>
    </row>
    <row r="83" spans="1:17" x14ac:dyDescent="0.2">
      <c r="A83" s="112"/>
      <c r="B83" s="112"/>
      <c r="C83" s="4" t="s">
        <v>211</v>
      </c>
      <c r="D83" s="5" t="s">
        <v>212</v>
      </c>
      <c r="E83" s="25" t="s">
        <v>21</v>
      </c>
      <c r="F83" s="25" t="s">
        <v>21</v>
      </c>
      <c r="G83" s="25" t="s">
        <v>21</v>
      </c>
      <c r="H83" s="25" t="s">
        <v>21</v>
      </c>
      <c r="I83" s="25"/>
      <c r="J83" s="25"/>
      <c r="K83" s="25"/>
      <c r="L83" s="25"/>
      <c r="M83" s="25"/>
      <c r="N83" s="25"/>
      <c r="O83" s="25"/>
      <c r="P83" s="25"/>
      <c r="Q83" s="6" t="s">
        <v>213</v>
      </c>
    </row>
    <row r="84" spans="1:17" x14ac:dyDescent="0.2">
      <c r="A84" s="112"/>
      <c r="B84" s="112"/>
      <c r="C84" s="4" t="s">
        <v>214</v>
      </c>
      <c r="D84" s="5">
        <v>1001040973</v>
      </c>
      <c r="E84" s="25" t="s">
        <v>21</v>
      </c>
      <c r="F84" s="25" t="s">
        <v>21</v>
      </c>
      <c r="G84" s="25" t="s">
        <v>43</v>
      </c>
      <c r="H84" s="25" t="s">
        <v>43</v>
      </c>
      <c r="I84" s="25" t="s">
        <v>43</v>
      </c>
      <c r="J84" s="25"/>
      <c r="K84" s="25"/>
      <c r="L84" s="25"/>
      <c r="M84" s="25"/>
      <c r="N84" s="25"/>
      <c r="O84" s="25"/>
      <c r="P84" s="25"/>
      <c r="Q84" s="6" t="s">
        <v>210</v>
      </c>
    </row>
    <row r="85" spans="1:17" x14ac:dyDescent="0.2">
      <c r="A85" s="113"/>
      <c r="B85" s="113"/>
      <c r="C85" s="4" t="s">
        <v>215</v>
      </c>
      <c r="D85" s="5">
        <v>42298919</v>
      </c>
      <c r="E85" s="25" t="s">
        <v>21</v>
      </c>
      <c r="F85" s="25" t="s">
        <v>21</v>
      </c>
      <c r="G85" s="25" t="s">
        <v>43</v>
      </c>
      <c r="H85" s="25" t="s">
        <v>43</v>
      </c>
      <c r="I85" s="25" t="s">
        <v>43</v>
      </c>
      <c r="J85" s="25"/>
      <c r="K85" s="25"/>
      <c r="L85" s="25"/>
      <c r="M85" s="25"/>
      <c r="N85" s="25"/>
      <c r="O85" s="25"/>
      <c r="P85" s="25"/>
      <c r="Q85" s="6" t="s">
        <v>210</v>
      </c>
    </row>
    <row r="86" spans="1:17" x14ac:dyDescent="0.2">
      <c r="A86" s="117" t="s">
        <v>216</v>
      </c>
      <c r="B86" s="117" t="s">
        <v>217</v>
      </c>
      <c r="C86" s="4" t="s">
        <v>218</v>
      </c>
      <c r="D86" s="40">
        <v>660016376897</v>
      </c>
      <c r="E86" s="25" t="s">
        <v>21</v>
      </c>
      <c r="F86" s="25" t="s">
        <v>21</v>
      </c>
      <c r="G86" s="25" t="s">
        <v>43</v>
      </c>
      <c r="H86" s="25" t="s">
        <v>43</v>
      </c>
      <c r="I86" s="25" t="s">
        <v>43</v>
      </c>
      <c r="J86" s="25"/>
      <c r="K86" s="25"/>
      <c r="L86" s="25"/>
      <c r="M86" s="25"/>
      <c r="N86" s="25"/>
      <c r="O86" s="25"/>
      <c r="P86" s="25"/>
      <c r="Q86" s="6" t="s">
        <v>210</v>
      </c>
    </row>
    <row r="87" spans="1:17" x14ac:dyDescent="0.2">
      <c r="A87" s="119"/>
      <c r="B87" s="119"/>
      <c r="C87" s="4" t="s">
        <v>220</v>
      </c>
      <c r="D87" s="5" t="s">
        <v>221</v>
      </c>
      <c r="E87" s="25" t="s">
        <v>21</v>
      </c>
      <c r="F87" s="25" t="s">
        <v>21</v>
      </c>
      <c r="G87" s="25" t="s">
        <v>43</v>
      </c>
      <c r="H87" s="25" t="s">
        <v>43</v>
      </c>
      <c r="I87" s="25" t="s">
        <v>43</v>
      </c>
      <c r="J87" s="25"/>
      <c r="K87" s="25"/>
      <c r="L87" s="25"/>
      <c r="M87" s="25"/>
      <c r="N87" s="25"/>
      <c r="O87" s="25"/>
      <c r="P87" s="25"/>
      <c r="Q87" s="6" t="s">
        <v>210</v>
      </c>
    </row>
    <row r="88" spans="1:17" x14ac:dyDescent="0.2">
      <c r="A88" s="4" t="s">
        <v>222</v>
      </c>
      <c r="B88" s="4" t="s">
        <v>222</v>
      </c>
      <c r="C88" s="4" t="s">
        <v>223</v>
      </c>
      <c r="D88" s="5">
        <v>110240.00199999999</v>
      </c>
      <c r="E88" s="25" t="s">
        <v>21</v>
      </c>
      <c r="F88" s="25" t="s">
        <v>21</v>
      </c>
      <c r="G88" s="25" t="s">
        <v>21</v>
      </c>
      <c r="H88" s="25" t="s">
        <v>21</v>
      </c>
      <c r="I88" s="25"/>
      <c r="J88" s="25"/>
      <c r="K88" s="25"/>
      <c r="L88" s="25"/>
      <c r="M88" s="25"/>
      <c r="N88" s="25"/>
      <c r="O88" s="25"/>
      <c r="P88" s="25"/>
      <c r="Q88" s="6"/>
    </row>
    <row r="89" spans="1:17" x14ac:dyDescent="0.2">
      <c r="A89" s="4" t="s">
        <v>530</v>
      </c>
      <c r="B89" s="4" t="s">
        <v>531</v>
      </c>
      <c r="C89" s="4" t="s">
        <v>19</v>
      </c>
      <c r="D89" s="5" t="s">
        <v>532</v>
      </c>
      <c r="E89" s="25" t="s">
        <v>43</v>
      </c>
      <c r="F89" s="25" t="s">
        <v>21</v>
      </c>
      <c r="G89" s="25" t="s">
        <v>21</v>
      </c>
      <c r="H89" s="25" t="s">
        <v>21</v>
      </c>
      <c r="I89" s="25" t="s">
        <v>21</v>
      </c>
      <c r="J89" s="25"/>
      <c r="K89" s="25"/>
      <c r="L89" s="25"/>
      <c r="M89" s="25"/>
      <c r="N89" s="25"/>
      <c r="O89" s="25"/>
      <c r="P89" s="25"/>
      <c r="Q89" s="6"/>
    </row>
    <row r="90" spans="1:17" x14ac:dyDescent="0.2">
      <c r="A90" s="117" t="s">
        <v>533</v>
      </c>
      <c r="B90" s="117" t="s">
        <v>533</v>
      </c>
      <c r="C90" s="4" t="s">
        <v>538</v>
      </c>
      <c r="D90" s="5">
        <v>4712649</v>
      </c>
      <c r="E90" s="105" t="s">
        <v>43</v>
      </c>
      <c r="F90" s="105" t="s">
        <v>43</v>
      </c>
      <c r="G90" s="105" t="s">
        <v>43</v>
      </c>
      <c r="H90" s="25" t="s">
        <v>43</v>
      </c>
      <c r="I90" s="25" t="s">
        <v>21</v>
      </c>
      <c r="J90" s="4"/>
      <c r="K90" s="4"/>
      <c r="L90" s="4"/>
      <c r="M90" s="4"/>
      <c r="N90" s="4"/>
      <c r="O90" s="4"/>
      <c r="P90" s="4"/>
      <c r="Q90" s="4"/>
    </row>
    <row r="91" spans="1:17" x14ac:dyDescent="0.2">
      <c r="A91" s="118"/>
      <c r="B91" s="118"/>
      <c r="C91" s="4" t="s">
        <v>539</v>
      </c>
      <c r="D91" s="4" t="s">
        <v>541</v>
      </c>
      <c r="E91" s="105" t="s">
        <v>43</v>
      </c>
      <c r="F91" s="105" t="s">
        <v>43</v>
      </c>
      <c r="G91" s="105" t="s">
        <v>43</v>
      </c>
      <c r="H91" s="25" t="s">
        <v>43</v>
      </c>
      <c r="I91" s="25" t="s">
        <v>21</v>
      </c>
      <c r="J91" s="4"/>
      <c r="K91" s="4"/>
      <c r="L91" s="4"/>
      <c r="M91" s="4"/>
      <c r="N91" s="4"/>
      <c r="O91" s="4"/>
      <c r="P91" s="4"/>
      <c r="Q91" s="4"/>
    </row>
    <row r="92" spans="1:17" x14ac:dyDescent="0.2">
      <c r="A92" s="119"/>
      <c r="B92" s="119"/>
      <c r="C92" s="4" t="s">
        <v>540</v>
      </c>
      <c r="D92" s="4" t="s">
        <v>542</v>
      </c>
      <c r="E92" s="105" t="s">
        <v>43</v>
      </c>
      <c r="F92" s="105" t="s">
        <v>43</v>
      </c>
      <c r="G92" s="105" t="s">
        <v>43</v>
      </c>
      <c r="H92" s="25" t="s">
        <v>43</v>
      </c>
      <c r="I92" s="25" t="s">
        <v>21</v>
      </c>
      <c r="J92" s="4"/>
      <c r="K92" s="4"/>
      <c r="L92" s="4"/>
      <c r="M92" s="4"/>
      <c r="N92" s="4"/>
      <c r="O92" s="4"/>
      <c r="P92" s="4"/>
      <c r="Q92" s="4"/>
    </row>
    <row r="93" spans="1:17" x14ac:dyDescent="0.2">
      <c r="A93" s="4" t="s">
        <v>534</v>
      </c>
      <c r="B93" s="4" t="s">
        <v>537</v>
      </c>
      <c r="C93" s="4" t="s">
        <v>535</v>
      </c>
      <c r="D93" s="5">
        <v>2593050</v>
      </c>
      <c r="E93" s="25" t="s">
        <v>21</v>
      </c>
      <c r="F93" s="25" t="s">
        <v>21</v>
      </c>
      <c r="G93" s="25" t="s">
        <v>21</v>
      </c>
      <c r="H93" s="25" t="s">
        <v>21</v>
      </c>
      <c r="I93" s="25" t="s">
        <v>21</v>
      </c>
      <c r="J93" s="4"/>
      <c r="K93" s="4"/>
      <c r="L93" s="4"/>
      <c r="M93" s="4"/>
      <c r="N93" s="4"/>
      <c r="O93" s="4"/>
      <c r="P93" s="4"/>
      <c r="Q93" s="4"/>
    </row>
    <row r="94" spans="1:17" x14ac:dyDescent="0.2">
      <c r="A94" s="117" t="s">
        <v>543</v>
      </c>
      <c r="B94" s="117" t="s">
        <v>543</v>
      </c>
      <c r="C94" s="4" t="s">
        <v>19</v>
      </c>
      <c r="D94" s="5" t="s">
        <v>544</v>
      </c>
      <c r="E94" s="25"/>
      <c r="F94" s="25"/>
      <c r="G94" s="25"/>
      <c r="H94" s="25"/>
      <c r="I94" s="4"/>
      <c r="J94" s="4"/>
      <c r="K94" s="4"/>
      <c r="L94" s="4"/>
      <c r="M94" s="4"/>
      <c r="N94" s="4"/>
      <c r="O94" s="4"/>
      <c r="P94" s="4"/>
      <c r="Q94" s="4"/>
    </row>
    <row r="95" spans="1:17" x14ac:dyDescent="0.2">
      <c r="A95" s="118"/>
      <c r="B95" s="118"/>
      <c r="C95" s="4" t="s">
        <v>146</v>
      </c>
      <c r="D95" s="5">
        <v>7539344</v>
      </c>
      <c r="E95" s="25"/>
      <c r="F95" s="25"/>
      <c r="G95" s="25"/>
      <c r="H95" s="25"/>
      <c r="I95" s="4"/>
      <c r="J95" s="4"/>
      <c r="K95" s="4"/>
      <c r="L95" s="4"/>
      <c r="M95" s="4"/>
      <c r="N95" s="4"/>
      <c r="O95" s="4"/>
      <c r="P95" s="4"/>
      <c r="Q95" s="4"/>
    </row>
    <row r="96" spans="1:17" x14ac:dyDescent="0.2">
      <c r="A96" s="119"/>
      <c r="B96" s="119"/>
      <c r="C96" s="4" t="s">
        <v>41</v>
      </c>
      <c r="D96" s="4" t="s">
        <v>545</v>
      </c>
      <c r="E96" s="25"/>
      <c r="F96" s="25"/>
      <c r="G96" s="25"/>
      <c r="H96" s="25"/>
      <c r="I96" s="4"/>
      <c r="J96" s="4"/>
      <c r="K96" s="4"/>
      <c r="L96" s="4"/>
      <c r="M96" s="4"/>
      <c r="N96" s="4"/>
      <c r="O96" s="4"/>
      <c r="P96" s="4"/>
      <c r="Q96" s="4"/>
    </row>
    <row r="97" spans="1:17" x14ac:dyDescent="0.2">
      <c r="A97" s="126" t="s">
        <v>546</v>
      </c>
      <c r="B97" s="6"/>
      <c r="C97" s="6" t="s">
        <v>33</v>
      </c>
      <c r="D97" s="107">
        <v>1001276729875010</v>
      </c>
      <c r="E97" s="6"/>
      <c r="F97" s="6"/>
      <c r="G97" s="6"/>
      <c r="H97" s="6"/>
      <c r="I97" s="6"/>
      <c r="J97" s="6"/>
      <c r="K97" s="6"/>
      <c r="L97" s="6"/>
      <c r="M97" s="6"/>
      <c r="N97" s="6"/>
      <c r="O97" s="6"/>
      <c r="P97" s="6"/>
      <c r="Q97" s="6"/>
    </row>
    <row r="98" spans="1:17" x14ac:dyDescent="0.2">
      <c r="A98" s="127"/>
      <c r="B98" s="6"/>
      <c r="C98" s="6" t="s">
        <v>41</v>
      </c>
      <c r="D98" s="107">
        <v>592215339380</v>
      </c>
      <c r="E98" s="6"/>
      <c r="F98" s="6"/>
      <c r="G98" s="6"/>
      <c r="H98" s="6"/>
      <c r="I98" s="6"/>
      <c r="J98" s="6"/>
      <c r="K98" s="6"/>
      <c r="L98" s="6"/>
      <c r="M98" s="6"/>
      <c r="N98" s="6"/>
      <c r="O98" s="6"/>
      <c r="P98" s="6"/>
      <c r="Q98" s="6"/>
    </row>
  </sheetData>
  <autoFilter ref="A1:Q96" xr:uid="{17FB2E45-7FCC-4B4B-AD71-D79ACD2C0ED5}"/>
  <mergeCells count="49">
    <mergeCell ref="A97:A98"/>
    <mergeCell ref="A86:A87"/>
    <mergeCell ref="B86:B87"/>
    <mergeCell ref="A90:A92"/>
    <mergeCell ref="B90:B92"/>
    <mergeCell ref="A94:A96"/>
    <mergeCell ref="B94:B96"/>
    <mergeCell ref="C19:C21"/>
    <mergeCell ref="B22:B23"/>
    <mergeCell ref="B24:B25"/>
    <mergeCell ref="A53:A55"/>
    <mergeCell ref="B53:B55"/>
    <mergeCell ref="B36:B37"/>
    <mergeCell ref="B48:B49"/>
    <mergeCell ref="A48:A49"/>
    <mergeCell ref="B46:B47"/>
    <mergeCell ref="A46:A47"/>
    <mergeCell ref="A26:A27"/>
    <mergeCell ref="A2:A4"/>
    <mergeCell ref="B2:B4"/>
    <mergeCell ref="A39:A41"/>
    <mergeCell ref="B29:B32"/>
    <mergeCell ref="B39:B41"/>
    <mergeCell ref="A17:A18"/>
    <mergeCell ref="A19:A21"/>
    <mergeCell ref="A36:A37"/>
    <mergeCell ref="A29:A32"/>
    <mergeCell ref="A22:A23"/>
    <mergeCell ref="A24:A25"/>
    <mergeCell ref="B11:B12"/>
    <mergeCell ref="A11:A12"/>
    <mergeCell ref="B17:B18"/>
    <mergeCell ref="A8:A10"/>
    <mergeCell ref="B8:B10"/>
    <mergeCell ref="A82:A85"/>
    <mergeCell ref="B82:B85"/>
    <mergeCell ref="A77:A79"/>
    <mergeCell ref="A80:A81"/>
    <mergeCell ref="A66:A68"/>
    <mergeCell ref="A72:A74"/>
    <mergeCell ref="B72:B74"/>
    <mergeCell ref="B77:B79"/>
    <mergeCell ref="A13:A16"/>
    <mergeCell ref="B13:B16"/>
    <mergeCell ref="A58:A62"/>
    <mergeCell ref="B66:B68"/>
    <mergeCell ref="B19:B21"/>
    <mergeCell ref="A63:A64"/>
    <mergeCell ref="B63:B64"/>
  </mergeCells>
  <phoneticPr fontId="1" type="noConversion"/>
  <pageMargins left="0" right="0" top="0" bottom="0" header="0" footer="0"/>
  <pageSetup paperSize="9" scale="41" orientation="landscape" r:id="rId1"/>
  <headerFooter>
    <oddFooter>&amp;L_x000D_&amp;1#&amp;"Calibri"&amp;12&amp;KFF0000 CONFIDENTIAL</oddFooter>
  </headerFooter>
  <ignoredErrors>
    <ignoredError sqref="D52:D53 D27 D25 D45 D48 D50 D13 D55 D60:D61 D7 D35 D63 D67 D81 D9 D23 D87 D96" numberStoredAsText="1"/>
  </ignoredError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A0D68-E697-4C09-A9FA-E5A97A3CA6C8}">
  <sheetPr codeName="Sheet2">
    <tabColor rgb="FFFF0000"/>
  </sheetPr>
  <dimension ref="A2:AG56"/>
  <sheetViews>
    <sheetView tabSelected="1" topLeftCell="B1" zoomScaleNormal="100" workbookViewId="0">
      <selection activeCell="L22" sqref="L22"/>
    </sheetView>
  </sheetViews>
  <sheetFormatPr defaultRowHeight="15" x14ac:dyDescent="0.25"/>
  <cols>
    <col min="1" max="1" width="14.7109375" bestFit="1" customWidth="1"/>
    <col min="2" max="2" width="36.28515625" customWidth="1"/>
    <col min="3" max="3" width="10.85546875" customWidth="1"/>
    <col min="4" max="14" width="9.140625" customWidth="1"/>
    <col min="15" max="17" width="12" customWidth="1"/>
    <col min="18" max="18" width="17.28515625" customWidth="1"/>
    <col min="19" max="19" width="25" customWidth="1"/>
    <col min="22" max="22" width="39.7109375" customWidth="1"/>
    <col min="23" max="23" width="7.140625" bestFit="1" customWidth="1"/>
    <col min="24" max="24" width="16.28515625" bestFit="1" customWidth="1"/>
    <col min="25" max="25" width="55.85546875" bestFit="1" customWidth="1"/>
    <col min="26" max="26" width="40.28515625" bestFit="1" customWidth="1"/>
    <col min="27" max="27" width="15.7109375" bestFit="1" customWidth="1"/>
    <col min="28" max="30" width="16.28515625" bestFit="1" customWidth="1"/>
    <col min="31" max="31" width="16.28515625" customWidth="1"/>
    <col min="32" max="55" width="16.28515625" bestFit="1" customWidth="1"/>
    <col min="56" max="56" width="11.28515625" bestFit="1" customWidth="1"/>
  </cols>
  <sheetData>
    <row r="2" spans="1:33" x14ac:dyDescent="0.25">
      <c r="A2" s="129" t="s">
        <v>224</v>
      </c>
      <c r="B2" s="129"/>
      <c r="C2" s="129"/>
      <c r="D2" s="129"/>
      <c r="E2" s="129"/>
      <c r="F2" s="129"/>
      <c r="G2" s="129"/>
      <c r="H2" s="129"/>
      <c r="I2" s="129"/>
      <c r="J2" s="129"/>
      <c r="K2" s="129"/>
      <c r="L2" s="129"/>
      <c r="M2" s="129"/>
      <c r="N2" s="129"/>
      <c r="O2" s="129"/>
      <c r="P2" s="129"/>
      <c r="Q2" s="129"/>
      <c r="R2" s="129"/>
      <c r="S2" s="29"/>
    </row>
    <row r="3" spans="1:33" x14ac:dyDescent="0.25">
      <c r="A3" s="18" t="s">
        <v>225</v>
      </c>
      <c r="B3" s="22" t="s">
        <v>226</v>
      </c>
      <c r="C3" s="130" t="s">
        <v>227</v>
      </c>
      <c r="D3" s="131"/>
      <c r="E3" s="131"/>
      <c r="F3" s="131"/>
      <c r="G3" s="131"/>
      <c r="H3" s="131"/>
      <c r="I3" s="131"/>
      <c r="J3" s="131"/>
      <c r="K3" s="131"/>
      <c r="L3" s="131"/>
      <c r="M3" s="131"/>
      <c r="N3" s="131"/>
      <c r="O3" s="132" t="s">
        <v>228</v>
      </c>
      <c r="P3" s="133"/>
      <c r="Q3" s="133"/>
      <c r="R3" s="134"/>
      <c r="S3" s="29"/>
    </row>
    <row r="4" spans="1:33" x14ac:dyDescent="0.25">
      <c r="A4" s="19"/>
      <c r="B4" s="19" t="s">
        <v>229</v>
      </c>
      <c r="C4" s="19" t="s">
        <v>4</v>
      </c>
      <c r="D4" s="19" t="s">
        <v>5</v>
      </c>
      <c r="E4" s="19" t="s">
        <v>6</v>
      </c>
      <c r="F4" s="19" t="s">
        <v>7</v>
      </c>
      <c r="G4" s="19" t="s">
        <v>8</v>
      </c>
      <c r="H4" s="19" t="s">
        <v>9</v>
      </c>
      <c r="I4" s="19" t="s">
        <v>10</v>
      </c>
      <c r="J4" s="19" t="s">
        <v>11</v>
      </c>
      <c r="K4" s="19" t="s">
        <v>12</v>
      </c>
      <c r="L4" s="19" t="s">
        <v>13</v>
      </c>
      <c r="M4" s="19" t="s">
        <v>14</v>
      </c>
      <c r="N4" s="19" t="s">
        <v>15</v>
      </c>
      <c r="O4" s="19" t="s">
        <v>230</v>
      </c>
      <c r="P4" s="19" t="s">
        <v>231</v>
      </c>
      <c r="Q4" s="19" t="s">
        <v>232</v>
      </c>
      <c r="R4" s="19" t="s">
        <v>233</v>
      </c>
      <c r="S4" s="30"/>
      <c r="T4" s="16">
        <v>0</v>
      </c>
      <c r="U4" s="16">
        <v>0</v>
      </c>
      <c r="V4" s="17" t="s">
        <v>234</v>
      </c>
    </row>
    <row r="5" spans="1:33" x14ac:dyDescent="0.25">
      <c r="A5" s="16">
        <v>1</v>
      </c>
      <c r="B5" s="17" t="s">
        <v>17</v>
      </c>
      <c r="C5" s="16">
        <v>1</v>
      </c>
      <c r="D5" s="16">
        <v>1</v>
      </c>
      <c r="E5" s="16">
        <v>1</v>
      </c>
      <c r="F5" s="16">
        <v>1</v>
      </c>
      <c r="G5" s="16"/>
      <c r="H5" s="16"/>
      <c r="I5" s="16"/>
      <c r="J5" s="16"/>
      <c r="K5" s="16"/>
      <c r="L5" s="16"/>
      <c r="M5" s="16"/>
      <c r="N5" s="16"/>
      <c r="O5" s="16" t="str">
        <f t="shared" ref="O5:O36" si="0">IF(COUNTIF(C5:N5, 0) = 1, "Yes", "No")</f>
        <v>No</v>
      </c>
      <c r="P5" s="16" t="str">
        <f t="shared" ref="P5:P36" si="1">IF(COUNTIF(C5:N5, 0) = 2, "Yes", "No")</f>
        <v>No</v>
      </c>
      <c r="Q5" s="16" t="str">
        <f t="shared" ref="Q5:Q36" si="2">IF(COUNTIF(C5:N5, 0) &gt;= 3, "Yes", "No")</f>
        <v>No</v>
      </c>
      <c r="R5" s="16" t="s">
        <v>235</v>
      </c>
      <c r="S5" s="28"/>
      <c r="T5" s="16">
        <v>1</v>
      </c>
      <c r="U5" s="16">
        <v>1</v>
      </c>
      <c r="V5" s="17" t="s">
        <v>236</v>
      </c>
    </row>
    <row r="6" spans="1:33" x14ac:dyDescent="0.25">
      <c r="A6" s="16">
        <v>2</v>
      </c>
      <c r="B6" s="17" t="s">
        <v>222</v>
      </c>
      <c r="C6" s="16">
        <v>1</v>
      </c>
      <c r="D6" s="16">
        <v>1</v>
      </c>
      <c r="E6" s="16">
        <v>1</v>
      </c>
      <c r="F6" s="16">
        <v>1</v>
      </c>
      <c r="G6" s="16"/>
      <c r="H6" s="16"/>
      <c r="I6" s="16"/>
      <c r="J6" s="16"/>
      <c r="K6" s="16"/>
      <c r="L6" s="16"/>
      <c r="M6" s="16"/>
      <c r="N6" s="16"/>
      <c r="O6" s="16" t="str">
        <f t="shared" si="0"/>
        <v>No</v>
      </c>
      <c r="P6" s="27" t="str">
        <f t="shared" si="1"/>
        <v>No</v>
      </c>
      <c r="Q6" s="27" t="str">
        <f t="shared" si="2"/>
        <v>No</v>
      </c>
      <c r="R6" s="27" t="s">
        <v>235</v>
      </c>
      <c r="S6" s="28"/>
      <c r="T6" s="16">
        <v>0.5</v>
      </c>
      <c r="U6" s="16">
        <v>0.5</v>
      </c>
      <c r="V6" s="17" t="s">
        <v>529</v>
      </c>
    </row>
    <row r="7" spans="1:33" x14ac:dyDescent="0.25">
      <c r="A7" s="16">
        <v>3</v>
      </c>
      <c r="B7" s="17" t="s">
        <v>141</v>
      </c>
      <c r="C7" s="16">
        <v>1</v>
      </c>
      <c r="D7" s="16">
        <v>1</v>
      </c>
      <c r="E7" s="16">
        <v>1</v>
      </c>
      <c r="F7" s="16">
        <v>1</v>
      </c>
      <c r="G7" s="16"/>
      <c r="H7" s="16"/>
      <c r="I7" s="16"/>
      <c r="J7" s="16"/>
      <c r="K7" s="16"/>
      <c r="L7" s="16"/>
      <c r="M7" s="16"/>
      <c r="N7" s="16"/>
      <c r="O7" s="16" t="str">
        <f t="shared" si="0"/>
        <v>No</v>
      </c>
      <c r="P7" s="27" t="str">
        <f t="shared" si="1"/>
        <v>No</v>
      </c>
      <c r="Q7" s="27" t="str">
        <f t="shared" si="2"/>
        <v>No</v>
      </c>
      <c r="R7" s="27" t="s">
        <v>235</v>
      </c>
      <c r="S7" s="28"/>
      <c r="Y7" s="128" t="s">
        <v>237</v>
      </c>
      <c r="Z7" s="128"/>
      <c r="AD7" t="s">
        <v>238</v>
      </c>
      <c r="AE7" t="s">
        <v>239</v>
      </c>
      <c r="AF7" t="s">
        <v>240</v>
      </c>
      <c r="AG7" t="s">
        <v>241</v>
      </c>
    </row>
    <row r="8" spans="1:33" x14ac:dyDescent="0.25">
      <c r="A8" s="16">
        <v>4</v>
      </c>
      <c r="B8" s="17" t="s">
        <v>28</v>
      </c>
      <c r="C8" s="16">
        <v>1</v>
      </c>
      <c r="D8" s="16">
        <v>1</v>
      </c>
      <c r="E8" s="16">
        <v>1</v>
      </c>
      <c r="F8" s="16">
        <v>0</v>
      </c>
      <c r="G8" s="16"/>
      <c r="H8" s="16"/>
      <c r="I8" s="16"/>
      <c r="J8" s="16"/>
      <c r="K8" s="16"/>
      <c r="L8" s="16"/>
      <c r="M8" s="16"/>
      <c r="N8" s="16"/>
      <c r="O8" s="16" t="str">
        <f t="shared" si="0"/>
        <v>Yes</v>
      </c>
      <c r="P8" s="27" t="str">
        <f t="shared" si="1"/>
        <v>No</v>
      </c>
      <c r="Q8" s="27" t="str">
        <f t="shared" si="2"/>
        <v>No</v>
      </c>
      <c r="R8" s="27" t="s">
        <v>235</v>
      </c>
      <c r="S8" s="28"/>
      <c r="Y8" s="17" t="s">
        <v>242</v>
      </c>
      <c r="Z8" s="17">
        <v>1</v>
      </c>
      <c r="AD8" t="s">
        <v>4</v>
      </c>
      <c r="AE8">
        <v>47</v>
      </c>
      <c r="AF8">
        <v>1</v>
      </c>
      <c r="AG8" s="102">
        <v>2.13</v>
      </c>
    </row>
    <row r="9" spans="1:33" x14ac:dyDescent="0.25">
      <c r="A9" s="16">
        <v>5</v>
      </c>
      <c r="B9" s="17" t="s">
        <v>243</v>
      </c>
      <c r="C9" s="16">
        <v>0.5</v>
      </c>
      <c r="D9" s="16">
        <v>1</v>
      </c>
      <c r="E9" s="16">
        <v>0.5</v>
      </c>
      <c r="F9" s="16">
        <v>0.5</v>
      </c>
      <c r="G9" s="16"/>
      <c r="H9" s="16"/>
      <c r="I9" s="16"/>
      <c r="J9" s="16"/>
      <c r="K9" s="16"/>
      <c r="L9" s="16"/>
      <c r="M9" s="16"/>
      <c r="N9" s="16"/>
      <c r="O9" s="16" t="str">
        <f t="shared" si="0"/>
        <v>No</v>
      </c>
      <c r="P9" s="27" t="str">
        <f t="shared" si="1"/>
        <v>No</v>
      </c>
      <c r="Q9" s="27" t="str">
        <f t="shared" si="2"/>
        <v>No</v>
      </c>
      <c r="R9" s="27" t="s">
        <v>235</v>
      </c>
      <c r="S9" s="28"/>
      <c r="Y9" s="17" t="s">
        <v>244</v>
      </c>
      <c r="Z9" s="17">
        <v>47</v>
      </c>
      <c r="AD9" t="s">
        <v>5</v>
      </c>
      <c r="AE9">
        <v>48</v>
      </c>
      <c r="AF9">
        <v>1</v>
      </c>
      <c r="AG9" s="102">
        <v>2.08</v>
      </c>
    </row>
    <row r="10" spans="1:33" x14ac:dyDescent="0.25">
      <c r="A10" s="16">
        <v>6</v>
      </c>
      <c r="B10" s="17" t="s">
        <v>245</v>
      </c>
      <c r="C10" s="16">
        <v>1</v>
      </c>
      <c r="D10" s="16">
        <v>1</v>
      </c>
      <c r="E10" s="16">
        <v>1</v>
      </c>
      <c r="F10" s="16">
        <v>1</v>
      </c>
      <c r="G10" s="16"/>
      <c r="H10" s="16"/>
      <c r="I10" s="16"/>
      <c r="J10" s="16"/>
      <c r="K10" s="16"/>
      <c r="L10" s="16"/>
      <c r="M10" s="16"/>
      <c r="N10" s="16"/>
      <c r="O10" s="16" t="str">
        <f t="shared" si="0"/>
        <v>No</v>
      </c>
      <c r="P10" s="27" t="str">
        <f t="shared" si="1"/>
        <v>No</v>
      </c>
      <c r="Q10" s="27" t="str">
        <f t="shared" si="2"/>
        <v>No</v>
      </c>
      <c r="R10" s="16" t="s">
        <v>235</v>
      </c>
      <c r="S10" s="28"/>
      <c r="Y10" s="17" t="s">
        <v>246</v>
      </c>
      <c r="Z10" s="23">
        <f>(Z8/Z9)*100</f>
        <v>2.1276595744680851</v>
      </c>
      <c r="AD10" t="s">
        <v>6</v>
      </c>
      <c r="AE10">
        <v>48</v>
      </c>
      <c r="AF10">
        <v>2</v>
      </c>
      <c r="AG10">
        <v>4.17</v>
      </c>
    </row>
    <row r="11" spans="1:33" x14ac:dyDescent="0.25">
      <c r="A11" s="16">
        <v>7</v>
      </c>
      <c r="B11" s="17" t="s">
        <v>25</v>
      </c>
      <c r="C11" s="16">
        <v>1</v>
      </c>
      <c r="D11" s="16">
        <v>1</v>
      </c>
      <c r="E11" s="16">
        <v>1</v>
      </c>
      <c r="F11" s="16">
        <v>1</v>
      </c>
      <c r="G11" s="16"/>
      <c r="H11" s="16"/>
      <c r="I11" s="16"/>
      <c r="J11" s="16"/>
      <c r="K11" s="16"/>
      <c r="L11" s="16"/>
      <c r="M11" s="16"/>
      <c r="N11" s="16"/>
      <c r="O11" s="16" t="str">
        <f t="shared" si="0"/>
        <v>No</v>
      </c>
      <c r="P11" s="27" t="str">
        <f t="shared" si="1"/>
        <v>No</v>
      </c>
      <c r="Q11" s="27" t="str">
        <f t="shared" si="2"/>
        <v>No</v>
      </c>
      <c r="R11" s="27" t="s">
        <v>235</v>
      </c>
      <c r="S11" s="28"/>
      <c r="AD11" t="s">
        <v>7</v>
      </c>
      <c r="AE11">
        <v>47</v>
      </c>
      <c r="AF11">
        <v>7</v>
      </c>
      <c r="AG11">
        <v>14.89</v>
      </c>
    </row>
    <row r="12" spans="1:33" x14ac:dyDescent="0.25">
      <c r="A12" s="16">
        <v>8</v>
      </c>
      <c r="B12" s="17" t="s">
        <v>171</v>
      </c>
      <c r="C12" s="16">
        <v>1</v>
      </c>
      <c r="D12" s="16">
        <v>1</v>
      </c>
      <c r="E12" s="16">
        <v>1</v>
      </c>
      <c r="F12" s="16">
        <v>1</v>
      </c>
      <c r="G12" s="16"/>
      <c r="H12" s="16"/>
      <c r="I12" s="16"/>
      <c r="J12" s="16"/>
      <c r="K12" s="16"/>
      <c r="L12" s="16"/>
      <c r="M12" s="16"/>
      <c r="N12" s="16"/>
      <c r="O12" s="16" t="str">
        <f t="shared" si="0"/>
        <v>No</v>
      </c>
      <c r="P12" s="16" t="str">
        <f t="shared" si="1"/>
        <v>No</v>
      </c>
      <c r="Q12" s="16" t="str">
        <f t="shared" si="2"/>
        <v>No</v>
      </c>
      <c r="R12" s="16" t="s">
        <v>235</v>
      </c>
      <c r="S12" s="28"/>
      <c r="Y12" s="128" t="s">
        <v>247</v>
      </c>
      <c r="Z12" s="128"/>
      <c r="AD12" t="s">
        <v>8</v>
      </c>
    </row>
    <row r="13" spans="1:33" x14ac:dyDescent="0.25">
      <c r="A13" s="16">
        <v>9</v>
      </c>
      <c r="B13" s="17" t="s">
        <v>31</v>
      </c>
      <c r="C13" s="16">
        <v>1</v>
      </c>
      <c r="D13" s="16">
        <v>1</v>
      </c>
      <c r="E13" s="16">
        <v>1</v>
      </c>
      <c r="F13" s="16">
        <v>1</v>
      </c>
      <c r="G13" s="16"/>
      <c r="H13" s="16"/>
      <c r="I13" s="16"/>
      <c r="J13" s="16"/>
      <c r="K13" s="16"/>
      <c r="L13" s="16"/>
      <c r="M13" s="16"/>
      <c r="N13" s="16"/>
      <c r="O13" s="16" t="str">
        <f t="shared" si="0"/>
        <v>No</v>
      </c>
      <c r="P13" s="27" t="str">
        <f t="shared" si="1"/>
        <v>No</v>
      </c>
      <c r="Q13" s="27" t="str">
        <f t="shared" si="2"/>
        <v>No</v>
      </c>
      <c r="R13" s="27" t="s">
        <v>235</v>
      </c>
      <c r="S13" s="28"/>
      <c r="Y13" s="17" t="s">
        <v>248</v>
      </c>
      <c r="Z13" s="17">
        <v>1</v>
      </c>
      <c r="AD13" t="s">
        <v>9</v>
      </c>
    </row>
    <row r="14" spans="1:33" x14ac:dyDescent="0.25">
      <c r="A14" s="16">
        <v>10</v>
      </c>
      <c r="B14" s="17" t="s">
        <v>151</v>
      </c>
      <c r="C14" s="16">
        <v>1</v>
      </c>
      <c r="D14" s="16">
        <v>1</v>
      </c>
      <c r="E14" s="16">
        <v>1</v>
      </c>
      <c r="F14" s="16">
        <v>0.5</v>
      </c>
      <c r="G14" s="16">
        <v>0.5</v>
      </c>
      <c r="H14" s="16">
        <v>0.5</v>
      </c>
      <c r="I14" s="16">
        <v>0.5</v>
      </c>
      <c r="J14" s="16">
        <v>0.5</v>
      </c>
      <c r="K14" s="16">
        <v>0.5</v>
      </c>
      <c r="L14" s="16">
        <v>0.5</v>
      </c>
      <c r="M14" s="16">
        <v>0.5</v>
      </c>
      <c r="N14" s="16">
        <v>0.5</v>
      </c>
      <c r="O14" s="16" t="str">
        <f t="shared" si="0"/>
        <v>No</v>
      </c>
      <c r="P14" s="27" t="str">
        <f t="shared" si="1"/>
        <v>No</v>
      </c>
      <c r="Q14" s="27" t="str">
        <f t="shared" si="2"/>
        <v>No</v>
      </c>
      <c r="R14" s="27" t="s">
        <v>235</v>
      </c>
      <c r="S14" s="28"/>
      <c r="Y14" s="17" t="s">
        <v>244</v>
      </c>
      <c r="Z14" s="17">
        <v>48</v>
      </c>
      <c r="AD14" t="s">
        <v>10</v>
      </c>
    </row>
    <row r="15" spans="1:33" x14ac:dyDescent="0.25">
      <c r="A15" s="16">
        <v>11</v>
      </c>
      <c r="B15" s="17" t="s">
        <v>153</v>
      </c>
      <c r="C15" s="16">
        <v>1</v>
      </c>
      <c r="D15" s="16">
        <v>1</v>
      </c>
      <c r="E15" s="16">
        <v>1</v>
      </c>
      <c r="F15" s="16">
        <v>0</v>
      </c>
      <c r="G15" s="16"/>
      <c r="H15" s="16"/>
      <c r="I15" s="16"/>
      <c r="J15" s="16"/>
      <c r="K15" s="16"/>
      <c r="L15" s="16"/>
      <c r="M15" s="16"/>
      <c r="N15" s="16"/>
      <c r="O15" s="16" t="str">
        <f t="shared" si="0"/>
        <v>Yes</v>
      </c>
      <c r="P15" s="27" t="str">
        <f t="shared" si="1"/>
        <v>No</v>
      </c>
      <c r="Q15" s="27" t="str">
        <f t="shared" si="2"/>
        <v>No</v>
      </c>
      <c r="R15" s="27" t="s">
        <v>235</v>
      </c>
      <c r="S15" s="28"/>
      <c r="V15" s="26"/>
      <c r="Y15" s="17" t="s">
        <v>246</v>
      </c>
      <c r="Z15" s="23">
        <f>(Z13/Z14)*100</f>
        <v>2.083333333333333</v>
      </c>
      <c r="AD15" t="s">
        <v>11</v>
      </c>
    </row>
    <row r="16" spans="1:33" x14ac:dyDescent="0.25">
      <c r="A16" s="16">
        <v>12</v>
      </c>
      <c r="B16" s="17" t="s">
        <v>36</v>
      </c>
      <c r="C16" s="16">
        <v>1</v>
      </c>
      <c r="D16" s="16">
        <v>1</v>
      </c>
      <c r="E16" s="16">
        <v>0.5</v>
      </c>
      <c r="F16" s="16">
        <v>1</v>
      </c>
      <c r="G16" s="16"/>
      <c r="H16" s="16"/>
      <c r="I16" s="16"/>
      <c r="J16" s="16"/>
      <c r="K16" s="16"/>
      <c r="L16" s="16"/>
      <c r="M16" s="16"/>
      <c r="N16" s="16"/>
      <c r="O16" s="16" t="str">
        <f t="shared" si="0"/>
        <v>No</v>
      </c>
      <c r="P16" s="16" t="str">
        <f t="shared" si="1"/>
        <v>No</v>
      </c>
      <c r="Q16" s="16" t="str">
        <f t="shared" si="2"/>
        <v>No</v>
      </c>
      <c r="R16" s="16" t="s">
        <v>235</v>
      </c>
      <c r="S16" s="28"/>
      <c r="AD16" t="s">
        <v>249</v>
      </c>
    </row>
    <row r="17" spans="1:30" x14ac:dyDescent="0.25">
      <c r="A17" s="16">
        <v>13</v>
      </c>
      <c r="B17" s="17" t="s">
        <v>250</v>
      </c>
      <c r="C17" s="16">
        <v>1</v>
      </c>
      <c r="D17" s="16">
        <v>1</v>
      </c>
      <c r="E17" s="16">
        <v>1</v>
      </c>
      <c r="F17" s="16">
        <v>0.5</v>
      </c>
      <c r="G17" s="16"/>
      <c r="H17" s="16"/>
      <c r="I17" s="16"/>
      <c r="J17" s="16"/>
      <c r="K17" s="16"/>
      <c r="L17" s="16"/>
      <c r="M17" s="16"/>
      <c r="N17" s="16"/>
      <c r="O17" s="16" t="str">
        <f t="shared" si="0"/>
        <v>No</v>
      </c>
      <c r="P17" s="27" t="str">
        <f t="shared" si="1"/>
        <v>No</v>
      </c>
      <c r="Q17" s="27" t="str">
        <f t="shared" si="2"/>
        <v>No</v>
      </c>
      <c r="R17" s="27" t="s">
        <v>235</v>
      </c>
      <c r="S17" s="28"/>
      <c r="Y17" s="128" t="s">
        <v>251</v>
      </c>
      <c r="Z17" s="128"/>
      <c r="AD17" t="s">
        <v>13</v>
      </c>
    </row>
    <row r="18" spans="1:30" x14ac:dyDescent="0.25">
      <c r="A18" s="16">
        <v>14</v>
      </c>
      <c r="B18" s="17" t="s">
        <v>44</v>
      </c>
      <c r="C18" s="16">
        <v>1</v>
      </c>
      <c r="D18" s="16">
        <v>1</v>
      </c>
      <c r="E18" s="16">
        <v>1</v>
      </c>
      <c r="F18" s="16">
        <v>1</v>
      </c>
      <c r="G18" s="16"/>
      <c r="H18" s="16"/>
      <c r="I18" s="16"/>
      <c r="J18" s="16"/>
      <c r="K18" s="16"/>
      <c r="L18" s="16"/>
      <c r="M18" s="16"/>
      <c r="N18" s="16"/>
      <c r="O18" s="16" t="str">
        <f t="shared" si="0"/>
        <v>No</v>
      </c>
      <c r="P18" s="27" t="str">
        <f t="shared" si="1"/>
        <v>No</v>
      </c>
      <c r="Q18" s="27" t="str">
        <f t="shared" si="2"/>
        <v>No</v>
      </c>
      <c r="R18" s="27" t="s">
        <v>235</v>
      </c>
      <c r="S18" s="28"/>
      <c r="Y18" s="17" t="s">
        <v>248</v>
      </c>
      <c r="Z18" s="17">
        <v>2</v>
      </c>
      <c r="AD18" t="s">
        <v>14</v>
      </c>
    </row>
    <row r="19" spans="1:30" x14ac:dyDescent="0.25">
      <c r="A19" s="16">
        <v>15</v>
      </c>
      <c r="B19" s="17" t="s">
        <v>58</v>
      </c>
      <c r="C19" s="16">
        <v>1</v>
      </c>
      <c r="D19" s="16">
        <v>1</v>
      </c>
      <c r="E19" s="16">
        <v>1</v>
      </c>
      <c r="F19" s="16">
        <v>1</v>
      </c>
      <c r="G19" s="16"/>
      <c r="H19" s="16"/>
      <c r="I19" s="16"/>
      <c r="J19" s="16"/>
      <c r="K19" s="16"/>
      <c r="L19" s="16"/>
      <c r="M19" s="16"/>
      <c r="N19" s="16"/>
      <c r="O19" s="16" t="str">
        <f t="shared" si="0"/>
        <v>No</v>
      </c>
      <c r="P19" s="27" t="str">
        <f t="shared" si="1"/>
        <v>No</v>
      </c>
      <c r="Q19" s="27" t="str">
        <f t="shared" si="2"/>
        <v>No</v>
      </c>
      <c r="R19" s="27" t="s">
        <v>235</v>
      </c>
      <c r="S19" s="28"/>
      <c r="Y19" s="17" t="s">
        <v>244</v>
      </c>
      <c r="Z19" s="17">
        <v>48</v>
      </c>
      <c r="AD19" t="s">
        <v>15</v>
      </c>
    </row>
    <row r="20" spans="1:30" x14ac:dyDescent="0.25">
      <c r="A20" s="16">
        <v>16</v>
      </c>
      <c r="B20" s="17" t="s">
        <v>49</v>
      </c>
      <c r="C20" s="16">
        <v>1</v>
      </c>
      <c r="D20" s="16">
        <v>1</v>
      </c>
      <c r="E20" s="16">
        <v>1</v>
      </c>
      <c r="F20" s="16">
        <v>1</v>
      </c>
      <c r="G20" s="16"/>
      <c r="H20" s="16"/>
      <c r="I20" s="16"/>
      <c r="J20" s="16"/>
      <c r="K20" s="16"/>
      <c r="L20" s="16"/>
      <c r="M20" s="16"/>
      <c r="N20" s="16"/>
      <c r="O20" s="16" t="str">
        <f t="shared" si="0"/>
        <v>No</v>
      </c>
      <c r="P20" s="27" t="str">
        <f t="shared" si="1"/>
        <v>No</v>
      </c>
      <c r="Q20" s="27" t="str">
        <f t="shared" si="2"/>
        <v>No</v>
      </c>
      <c r="R20" s="27" t="s">
        <v>235</v>
      </c>
      <c r="S20" s="28"/>
      <c r="Y20" s="17" t="s">
        <v>246</v>
      </c>
      <c r="Z20" s="23">
        <f>(Z18/Z19)*100</f>
        <v>4.1666666666666661</v>
      </c>
    </row>
    <row r="21" spans="1:30" x14ac:dyDescent="0.25">
      <c r="A21" s="16">
        <v>17</v>
      </c>
      <c r="B21" s="17" t="s">
        <v>182</v>
      </c>
      <c r="C21" s="16">
        <v>1</v>
      </c>
      <c r="D21" s="16">
        <v>1</v>
      </c>
      <c r="E21" s="16">
        <v>1</v>
      </c>
      <c r="F21" s="16">
        <v>1</v>
      </c>
      <c r="G21" s="16"/>
      <c r="H21" s="16"/>
      <c r="I21" s="16"/>
      <c r="J21" s="16"/>
      <c r="K21" s="16"/>
      <c r="L21" s="16"/>
      <c r="M21" s="16"/>
      <c r="N21" s="16"/>
      <c r="O21" s="16" t="str">
        <f t="shared" si="0"/>
        <v>No</v>
      </c>
      <c r="P21" s="27" t="str">
        <f t="shared" si="1"/>
        <v>No</v>
      </c>
      <c r="Q21" s="27" t="str">
        <f t="shared" si="2"/>
        <v>No</v>
      </c>
      <c r="R21" s="27" t="s">
        <v>235</v>
      </c>
      <c r="S21" s="28"/>
      <c r="Y21" s="135"/>
      <c r="Z21" s="135"/>
    </row>
    <row r="22" spans="1:30" x14ac:dyDescent="0.25">
      <c r="A22" s="16">
        <v>18</v>
      </c>
      <c r="B22" s="17" t="s">
        <v>176</v>
      </c>
      <c r="C22" s="16">
        <v>1</v>
      </c>
      <c r="D22" s="16">
        <v>1</v>
      </c>
      <c r="E22" s="16">
        <v>1</v>
      </c>
      <c r="F22" s="16">
        <v>1</v>
      </c>
      <c r="G22" s="16"/>
      <c r="H22" s="16"/>
      <c r="I22" s="16"/>
      <c r="J22" s="16"/>
      <c r="K22" s="16"/>
      <c r="L22" s="16"/>
      <c r="M22" s="16"/>
      <c r="N22" s="16"/>
      <c r="O22" s="16" t="str">
        <f t="shared" si="0"/>
        <v>No</v>
      </c>
      <c r="P22" s="27" t="str">
        <f t="shared" si="1"/>
        <v>No</v>
      </c>
      <c r="Q22" s="27" t="str">
        <f t="shared" si="2"/>
        <v>No</v>
      </c>
      <c r="R22" s="27" t="s">
        <v>235</v>
      </c>
      <c r="S22" s="28"/>
      <c r="Y22" s="128" t="s">
        <v>252</v>
      </c>
      <c r="Z22" s="128"/>
    </row>
    <row r="23" spans="1:30" x14ac:dyDescent="0.25">
      <c r="A23" s="16">
        <v>19</v>
      </c>
      <c r="B23" s="17" t="s">
        <v>62</v>
      </c>
      <c r="C23" s="16">
        <v>1</v>
      </c>
      <c r="D23" s="16">
        <v>1</v>
      </c>
      <c r="E23" s="16">
        <v>1</v>
      </c>
      <c r="F23" s="16">
        <v>1</v>
      </c>
      <c r="G23" s="16"/>
      <c r="H23" s="16"/>
      <c r="I23" s="16"/>
      <c r="J23" s="16"/>
      <c r="K23" s="16"/>
      <c r="L23" s="16"/>
      <c r="M23" s="16"/>
      <c r="N23" s="16"/>
      <c r="O23" s="16" t="str">
        <f t="shared" si="0"/>
        <v>No</v>
      </c>
      <c r="P23" s="16" t="str">
        <f t="shared" si="1"/>
        <v>No</v>
      </c>
      <c r="Q23" s="16" t="str">
        <f t="shared" si="2"/>
        <v>No</v>
      </c>
      <c r="R23" s="16" t="s">
        <v>235</v>
      </c>
      <c r="S23" s="28"/>
      <c r="Y23" s="17" t="s">
        <v>248</v>
      </c>
      <c r="Z23" s="17">
        <v>7</v>
      </c>
    </row>
    <row r="24" spans="1:30" x14ac:dyDescent="0.25">
      <c r="A24" s="16">
        <v>20</v>
      </c>
      <c r="B24" s="17" t="s">
        <v>137</v>
      </c>
      <c r="C24" s="16">
        <v>1</v>
      </c>
      <c r="D24" s="16">
        <v>1</v>
      </c>
      <c r="E24" s="16">
        <v>1</v>
      </c>
      <c r="F24" s="16">
        <v>1</v>
      </c>
      <c r="G24" s="16"/>
      <c r="H24" s="16"/>
      <c r="I24" s="16"/>
      <c r="J24" s="16"/>
      <c r="K24" s="16"/>
      <c r="L24" s="16"/>
      <c r="M24" s="16"/>
      <c r="N24" s="16"/>
      <c r="O24" s="16" t="str">
        <f t="shared" si="0"/>
        <v>No</v>
      </c>
      <c r="P24" s="27" t="str">
        <f t="shared" si="1"/>
        <v>No</v>
      </c>
      <c r="Q24" s="27" t="str">
        <f t="shared" si="2"/>
        <v>No</v>
      </c>
      <c r="R24" s="27" t="s">
        <v>235</v>
      </c>
      <c r="S24" s="28"/>
      <c r="Y24" s="17" t="s">
        <v>253</v>
      </c>
      <c r="Z24" s="17">
        <v>47</v>
      </c>
    </row>
    <row r="25" spans="1:30" x14ac:dyDescent="0.25">
      <c r="A25" s="16">
        <v>21</v>
      </c>
      <c r="B25" s="17" t="s">
        <v>186</v>
      </c>
      <c r="C25" s="16">
        <v>1</v>
      </c>
      <c r="D25" s="16">
        <v>1</v>
      </c>
      <c r="E25" s="16">
        <v>1</v>
      </c>
      <c r="F25" s="16">
        <v>1</v>
      </c>
      <c r="G25" s="16"/>
      <c r="H25" s="16"/>
      <c r="I25" s="16"/>
      <c r="J25" s="16"/>
      <c r="K25" s="16"/>
      <c r="L25" s="16"/>
      <c r="M25" s="16"/>
      <c r="N25" s="16"/>
      <c r="O25" s="16" t="str">
        <f t="shared" si="0"/>
        <v>No</v>
      </c>
      <c r="P25" s="27" t="str">
        <f t="shared" si="1"/>
        <v>No</v>
      </c>
      <c r="Q25" s="27" t="str">
        <f t="shared" si="2"/>
        <v>No</v>
      </c>
      <c r="R25" s="27" t="s">
        <v>235</v>
      </c>
      <c r="S25" s="28"/>
      <c r="Y25" s="17" t="s">
        <v>246</v>
      </c>
      <c r="Z25" s="23">
        <f>(Z23/Z24)*100</f>
        <v>14.893617021276595</v>
      </c>
    </row>
    <row r="26" spans="1:30" x14ac:dyDescent="0.25">
      <c r="A26" s="16">
        <v>22</v>
      </c>
      <c r="B26" s="17" t="s">
        <v>67</v>
      </c>
      <c r="C26" s="16">
        <v>1</v>
      </c>
      <c r="D26" s="16">
        <v>1</v>
      </c>
      <c r="E26" s="16">
        <v>1</v>
      </c>
      <c r="F26" s="16">
        <v>1</v>
      </c>
      <c r="G26" s="16"/>
      <c r="H26" s="16"/>
      <c r="I26" s="16"/>
      <c r="J26" s="16"/>
      <c r="K26" s="16"/>
      <c r="L26" s="16"/>
      <c r="M26" s="16"/>
      <c r="N26" s="16"/>
      <c r="O26" s="16" t="str">
        <f t="shared" si="0"/>
        <v>No</v>
      </c>
      <c r="P26" s="16" t="str">
        <f t="shared" si="1"/>
        <v>No</v>
      </c>
      <c r="Q26" s="16" t="str">
        <f t="shared" si="2"/>
        <v>No</v>
      </c>
      <c r="R26" s="16" t="s">
        <v>235</v>
      </c>
      <c r="S26" s="28"/>
    </row>
    <row r="27" spans="1:30" x14ac:dyDescent="0.25">
      <c r="A27" s="16">
        <v>23</v>
      </c>
      <c r="B27" s="17" t="s">
        <v>73</v>
      </c>
      <c r="C27" s="27">
        <v>1</v>
      </c>
      <c r="D27" s="27">
        <v>1</v>
      </c>
      <c r="E27" s="27">
        <v>1</v>
      </c>
      <c r="F27" s="27">
        <v>1</v>
      </c>
      <c r="G27" s="27"/>
      <c r="H27" s="16"/>
      <c r="I27" s="16"/>
      <c r="J27" s="16"/>
      <c r="K27" s="16"/>
      <c r="L27" s="16"/>
      <c r="M27" s="16"/>
      <c r="N27" s="16"/>
      <c r="O27" s="16" t="str">
        <f t="shared" si="0"/>
        <v>No</v>
      </c>
      <c r="P27" s="27" t="str">
        <f t="shared" si="1"/>
        <v>No</v>
      </c>
      <c r="Q27" s="27" t="str">
        <f t="shared" si="2"/>
        <v>No</v>
      </c>
      <c r="R27" s="27" t="s">
        <v>254</v>
      </c>
      <c r="S27" s="28"/>
      <c r="Y27" s="128" t="s">
        <v>8</v>
      </c>
      <c r="Z27" s="128"/>
    </row>
    <row r="28" spans="1:30" x14ac:dyDescent="0.25">
      <c r="A28" s="16">
        <v>24</v>
      </c>
      <c r="B28" s="17" t="s">
        <v>189</v>
      </c>
      <c r="C28" s="16">
        <v>1</v>
      </c>
      <c r="D28" s="16">
        <v>1</v>
      </c>
      <c r="E28" s="16">
        <v>1</v>
      </c>
      <c r="F28" s="16">
        <v>0</v>
      </c>
      <c r="G28" s="16"/>
      <c r="H28" s="16"/>
      <c r="I28" s="16"/>
      <c r="J28" s="16"/>
      <c r="K28" s="16"/>
      <c r="L28" s="16"/>
      <c r="M28" s="16"/>
      <c r="N28" s="16"/>
      <c r="O28" s="16" t="str">
        <f t="shared" si="0"/>
        <v>Yes</v>
      </c>
      <c r="P28" s="27" t="str">
        <f t="shared" si="1"/>
        <v>No</v>
      </c>
      <c r="Q28" s="27" t="str">
        <f t="shared" si="2"/>
        <v>No</v>
      </c>
      <c r="R28" s="27" t="s">
        <v>235</v>
      </c>
      <c r="S28" s="28"/>
      <c r="Y28" s="17" t="s">
        <v>248</v>
      </c>
      <c r="Z28" s="17"/>
      <c r="AC28" s="80"/>
    </row>
    <row r="29" spans="1:30" x14ac:dyDescent="0.25">
      <c r="A29" s="16">
        <v>25</v>
      </c>
      <c r="B29" s="17" t="s">
        <v>77</v>
      </c>
      <c r="C29" s="16">
        <v>1</v>
      </c>
      <c r="D29" s="16">
        <v>1</v>
      </c>
      <c r="E29" s="16">
        <v>1</v>
      </c>
      <c r="F29" s="16">
        <v>1</v>
      </c>
      <c r="G29" s="16"/>
      <c r="H29" s="16"/>
      <c r="I29" s="16"/>
      <c r="J29" s="16"/>
      <c r="K29" s="16"/>
      <c r="L29" s="16"/>
      <c r="M29" s="16"/>
      <c r="N29" s="16"/>
      <c r="O29" s="16" t="str">
        <f t="shared" si="0"/>
        <v>No</v>
      </c>
      <c r="P29" s="16" t="str">
        <f t="shared" si="1"/>
        <v>No</v>
      </c>
      <c r="Q29" s="16" t="str">
        <f t="shared" si="2"/>
        <v>No</v>
      </c>
      <c r="R29" s="16" t="s">
        <v>235</v>
      </c>
      <c r="S29" s="28"/>
      <c r="Y29" s="17" t="s">
        <v>253</v>
      </c>
      <c r="Z29" s="17"/>
      <c r="AC29" s="80">
        <v>38</v>
      </c>
    </row>
    <row r="30" spans="1:30" x14ac:dyDescent="0.25">
      <c r="A30" s="16">
        <v>26</v>
      </c>
      <c r="B30" s="17" t="s">
        <v>207</v>
      </c>
      <c r="C30" s="16">
        <v>1</v>
      </c>
      <c r="D30" s="16">
        <v>1</v>
      </c>
      <c r="E30" s="16">
        <v>1</v>
      </c>
      <c r="F30" s="16">
        <v>1</v>
      </c>
      <c r="G30" s="16"/>
      <c r="H30" s="16"/>
      <c r="I30" s="16"/>
      <c r="J30" s="16"/>
      <c r="K30" s="16"/>
      <c r="L30" s="16"/>
      <c r="M30" s="16"/>
      <c r="N30" s="16"/>
      <c r="O30" s="16" t="str">
        <f t="shared" si="0"/>
        <v>No</v>
      </c>
      <c r="P30" s="27" t="str">
        <f t="shared" si="1"/>
        <v>No</v>
      </c>
      <c r="Q30" s="27" t="str">
        <f t="shared" si="2"/>
        <v>No</v>
      </c>
      <c r="R30" s="27" t="s">
        <v>235</v>
      </c>
      <c r="S30" s="28"/>
      <c r="Y30" s="17" t="s">
        <v>246</v>
      </c>
      <c r="Z30" s="23" t="e">
        <f>(Z28/Z29)*100</f>
        <v>#DIV/0!</v>
      </c>
      <c r="AC30" s="80"/>
    </row>
    <row r="31" spans="1:30" x14ac:dyDescent="0.25">
      <c r="A31" s="16">
        <v>27</v>
      </c>
      <c r="B31" s="17" t="s">
        <v>533</v>
      </c>
      <c r="C31" s="16">
        <v>0.5</v>
      </c>
      <c r="D31" s="16">
        <v>0.5</v>
      </c>
      <c r="E31" s="16">
        <v>0.5</v>
      </c>
      <c r="F31" s="16">
        <v>0.5</v>
      </c>
      <c r="G31" s="16"/>
      <c r="H31" s="16"/>
      <c r="I31" s="16"/>
      <c r="J31" s="16"/>
      <c r="K31" s="16"/>
      <c r="L31" s="16"/>
      <c r="M31" s="16"/>
      <c r="N31" s="16"/>
      <c r="O31" s="16" t="str">
        <f t="shared" si="0"/>
        <v>No</v>
      </c>
      <c r="P31" s="16" t="str">
        <f t="shared" si="1"/>
        <v>No</v>
      </c>
      <c r="Q31" s="16" t="str">
        <f t="shared" si="2"/>
        <v>No</v>
      </c>
      <c r="R31" s="16" t="s">
        <v>235</v>
      </c>
      <c r="S31" s="28"/>
      <c r="AC31" s="80"/>
    </row>
    <row r="32" spans="1:30" x14ac:dyDescent="0.25">
      <c r="A32" s="16">
        <v>28</v>
      </c>
      <c r="B32" s="17" t="s">
        <v>82</v>
      </c>
      <c r="C32" s="16">
        <v>1</v>
      </c>
      <c r="D32" s="16">
        <v>1</v>
      </c>
      <c r="E32" s="16">
        <v>1</v>
      </c>
      <c r="F32" s="16">
        <v>1</v>
      </c>
      <c r="G32" s="16">
        <v>1</v>
      </c>
      <c r="H32" s="16">
        <v>0.5</v>
      </c>
      <c r="I32" s="16">
        <v>0.5</v>
      </c>
      <c r="J32" s="16">
        <v>0.5</v>
      </c>
      <c r="K32" s="16">
        <v>0.5</v>
      </c>
      <c r="L32" s="16">
        <v>0.5</v>
      </c>
      <c r="M32" s="16">
        <v>0.5</v>
      </c>
      <c r="N32" s="16">
        <v>0.5</v>
      </c>
      <c r="O32" s="16" t="str">
        <f t="shared" si="0"/>
        <v>No</v>
      </c>
      <c r="P32" s="16" t="str">
        <f t="shared" si="1"/>
        <v>No</v>
      </c>
      <c r="Q32" s="16" t="str">
        <f t="shared" si="2"/>
        <v>No</v>
      </c>
      <c r="R32" s="16" t="s">
        <v>235</v>
      </c>
      <c r="S32" s="28"/>
      <c r="Y32" s="128" t="s">
        <v>255</v>
      </c>
      <c r="Z32" s="128"/>
      <c r="AC32" s="80"/>
    </row>
    <row r="33" spans="1:29" x14ac:dyDescent="0.25">
      <c r="A33" s="16">
        <v>29</v>
      </c>
      <c r="B33" s="17" t="s">
        <v>85</v>
      </c>
      <c r="C33" s="16">
        <v>1</v>
      </c>
      <c r="D33" s="16">
        <v>1</v>
      </c>
      <c r="E33" s="16">
        <v>1</v>
      </c>
      <c r="F33" s="16">
        <v>1</v>
      </c>
      <c r="G33" s="16"/>
      <c r="H33" s="16"/>
      <c r="I33" s="16"/>
      <c r="J33" s="16"/>
      <c r="K33" s="16"/>
      <c r="L33" s="16"/>
      <c r="M33" s="16"/>
      <c r="N33" s="16"/>
      <c r="O33" s="16" t="str">
        <f t="shared" si="0"/>
        <v>No</v>
      </c>
      <c r="P33" s="16" t="str">
        <f t="shared" si="1"/>
        <v>No</v>
      </c>
      <c r="Q33" s="16" t="str">
        <f t="shared" si="2"/>
        <v>No</v>
      </c>
      <c r="R33" s="16" t="s">
        <v>235</v>
      </c>
      <c r="S33" s="28"/>
      <c r="Y33" s="17" t="s">
        <v>248</v>
      </c>
      <c r="Z33" s="17"/>
      <c r="AC33" s="80"/>
    </row>
    <row r="34" spans="1:29" x14ac:dyDescent="0.25">
      <c r="A34" s="16">
        <v>30</v>
      </c>
      <c r="B34" s="17" t="s">
        <v>94</v>
      </c>
      <c r="C34" s="16">
        <v>1</v>
      </c>
      <c r="D34" s="16">
        <v>1</v>
      </c>
      <c r="E34" s="16">
        <v>1</v>
      </c>
      <c r="F34" s="16">
        <v>1</v>
      </c>
      <c r="G34" s="16"/>
      <c r="H34" s="16"/>
      <c r="I34" s="16"/>
      <c r="J34" s="16"/>
      <c r="K34" s="16"/>
      <c r="L34" s="16"/>
      <c r="M34" s="16"/>
      <c r="N34" s="16"/>
      <c r="O34" s="16" t="str">
        <f t="shared" si="0"/>
        <v>No</v>
      </c>
      <c r="P34" s="27" t="str">
        <f t="shared" si="1"/>
        <v>No</v>
      </c>
      <c r="Q34" s="27" t="str">
        <f t="shared" si="2"/>
        <v>No</v>
      </c>
      <c r="R34" s="27" t="s">
        <v>235</v>
      </c>
      <c r="S34" s="28"/>
      <c r="Y34" s="17" t="s">
        <v>253</v>
      </c>
      <c r="Z34" s="17"/>
      <c r="AC34" s="81">
        <v>7</v>
      </c>
    </row>
    <row r="35" spans="1:29" x14ac:dyDescent="0.25">
      <c r="A35" s="16">
        <v>31</v>
      </c>
      <c r="B35" s="17" t="s">
        <v>180</v>
      </c>
      <c r="C35" s="16">
        <v>1</v>
      </c>
      <c r="D35" s="16">
        <v>1</v>
      </c>
      <c r="E35" s="16">
        <v>1</v>
      </c>
      <c r="F35" s="16">
        <v>0.5</v>
      </c>
      <c r="G35" s="16">
        <v>0.5</v>
      </c>
      <c r="H35" s="16">
        <v>0.5</v>
      </c>
      <c r="I35" s="16">
        <v>0.5</v>
      </c>
      <c r="J35" s="16">
        <v>0.5</v>
      </c>
      <c r="K35" s="16">
        <v>0.5</v>
      </c>
      <c r="L35" s="16">
        <v>0.5</v>
      </c>
      <c r="M35" s="16">
        <v>0.5</v>
      </c>
      <c r="N35" s="16">
        <v>0.5</v>
      </c>
      <c r="O35" s="16" t="str">
        <f t="shared" si="0"/>
        <v>No</v>
      </c>
      <c r="P35" s="27" t="str">
        <f t="shared" si="1"/>
        <v>No</v>
      </c>
      <c r="Q35" s="27" t="str">
        <f t="shared" si="2"/>
        <v>No</v>
      </c>
      <c r="R35" s="27" t="s">
        <v>235</v>
      </c>
      <c r="S35" s="28"/>
      <c r="Y35" s="17" t="s">
        <v>246</v>
      </c>
      <c r="Z35" s="23" t="e">
        <f>(Z33/Z34)*100</f>
        <v>#DIV/0!</v>
      </c>
      <c r="AC35" s="28"/>
    </row>
    <row r="36" spans="1:29" x14ac:dyDescent="0.25">
      <c r="A36" s="16">
        <v>32</v>
      </c>
      <c r="B36" s="17" t="s">
        <v>98</v>
      </c>
      <c r="C36" s="16">
        <v>1</v>
      </c>
      <c r="D36" s="16">
        <v>1</v>
      </c>
      <c r="E36" s="16">
        <v>1</v>
      </c>
      <c r="F36" s="16">
        <v>1</v>
      </c>
      <c r="G36" s="16"/>
      <c r="H36" s="16"/>
      <c r="I36" s="16"/>
      <c r="J36" s="16"/>
      <c r="K36" s="16"/>
      <c r="L36" s="16"/>
      <c r="M36" s="16"/>
      <c r="N36" s="16"/>
      <c r="O36" s="16" t="str">
        <f t="shared" si="0"/>
        <v>No</v>
      </c>
      <c r="P36" s="16" t="str">
        <f t="shared" si="1"/>
        <v>No</v>
      </c>
      <c r="Q36" s="16" t="str">
        <f t="shared" si="2"/>
        <v>No</v>
      </c>
      <c r="R36" s="16" t="s">
        <v>235</v>
      </c>
      <c r="S36" s="28"/>
      <c r="AC36" s="28">
        <v>45</v>
      </c>
    </row>
    <row r="37" spans="1:29" x14ac:dyDescent="0.25">
      <c r="A37" s="16">
        <v>33</v>
      </c>
      <c r="B37" s="17" t="s">
        <v>101</v>
      </c>
      <c r="C37" s="16">
        <v>1</v>
      </c>
      <c r="D37" s="16">
        <v>1</v>
      </c>
      <c r="E37" s="16">
        <v>0</v>
      </c>
      <c r="F37" s="16">
        <v>1</v>
      </c>
      <c r="G37" s="16"/>
      <c r="H37" s="16"/>
      <c r="I37" s="16"/>
      <c r="J37" s="16"/>
      <c r="K37" s="16"/>
      <c r="L37" s="16"/>
      <c r="M37" s="16"/>
      <c r="N37" s="16"/>
      <c r="O37" s="16" t="str">
        <f t="shared" ref="O37:O55" si="3">IF(COUNTIF(C37:N37, 0) = 1, "Yes", "No")</f>
        <v>Yes</v>
      </c>
      <c r="P37" s="27" t="str">
        <f t="shared" ref="P37:P55" si="4">IF(COUNTIF(C37:N37, 0) = 2, "Yes", "No")</f>
        <v>No</v>
      </c>
      <c r="Q37" s="27" t="str">
        <f t="shared" ref="Q37:Q55" si="5">IF(COUNTIF(C37:N37, 0) &gt;= 3, "Yes", "No")</f>
        <v>No</v>
      </c>
      <c r="R37" s="27" t="s">
        <v>235</v>
      </c>
      <c r="S37" s="28"/>
      <c r="Y37" s="128" t="s">
        <v>256</v>
      </c>
      <c r="Z37" s="128"/>
    </row>
    <row r="38" spans="1:29" x14ac:dyDescent="0.25">
      <c r="A38" s="16">
        <v>34</v>
      </c>
      <c r="B38" s="17" t="s">
        <v>105</v>
      </c>
      <c r="C38" s="16">
        <v>0.5</v>
      </c>
      <c r="D38" s="16">
        <v>0.5</v>
      </c>
      <c r="E38" s="16">
        <v>0.5</v>
      </c>
      <c r="F38" s="16">
        <v>0.5</v>
      </c>
      <c r="G38" s="16"/>
      <c r="H38" s="16"/>
      <c r="I38" s="16"/>
      <c r="J38" s="16"/>
      <c r="K38" s="16"/>
      <c r="L38" s="16"/>
      <c r="M38" s="16"/>
      <c r="N38" s="16"/>
      <c r="O38" s="16" t="str">
        <f t="shared" si="3"/>
        <v>No</v>
      </c>
      <c r="P38" s="27" t="str">
        <f t="shared" si="4"/>
        <v>No</v>
      </c>
      <c r="Q38" s="27" t="str">
        <f t="shared" si="5"/>
        <v>No</v>
      </c>
      <c r="R38" s="27" t="s">
        <v>235</v>
      </c>
      <c r="S38" s="28"/>
      <c r="Y38" s="17" t="s">
        <v>248</v>
      </c>
      <c r="Z38" s="17"/>
    </row>
    <row r="39" spans="1:29" x14ac:dyDescent="0.25">
      <c r="A39" s="16">
        <v>35</v>
      </c>
      <c r="B39" s="17" t="s">
        <v>194</v>
      </c>
      <c r="C39" s="16">
        <v>1</v>
      </c>
      <c r="D39" s="16">
        <v>1</v>
      </c>
      <c r="E39" s="16">
        <v>1</v>
      </c>
      <c r="F39" s="16">
        <v>1</v>
      </c>
      <c r="G39" s="16"/>
      <c r="H39" s="16"/>
      <c r="I39" s="16"/>
      <c r="J39" s="16"/>
      <c r="K39" s="16"/>
      <c r="L39" s="16"/>
      <c r="M39" s="16"/>
      <c r="N39" s="16"/>
      <c r="O39" s="16" t="str">
        <f t="shared" si="3"/>
        <v>No</v>
      </c>
      <c r="P39" s="27" t="str">
        <f t="shared" si="4"/>
        <v>No</v>
      </c>
      <c r="Q39" s="27" t="str">
        <f t="shared" si="5"/>
        <v>No</v>
      </c>
      <c r="R39" s="27" t="s">
        <v>235</v>
      </c>
      <c r="S39" s="28"/>
      <c r="Y39" s="17" t="s">
        <v>253</v>
      </c>
      <c r="Z39" s="17"/>
    </row>
    <row r="40" spans="1:29" x14ac:dyDescent="0.25">
      <c r="A40" s="16">
        <v>36</v>
      </c>
      <c r="B40" s="17" t="s">
        <v>257</v>
      </c>
      <c r="C40" s="16">
        <v>1</v>
      </c>
      <c r="D40" s="16">
        <v>1</v>
      </c>
      <c r="E40" s="16">
        <v>1</v>
      </c>
      <c r="F40" s="16">
        <v>1</v>
      </c>
      <c r="G40" s="17"/>
      <c r="H40" s="17"/>
      <c r="I40" s="17"/>
      <c r="J40" s="17"/>
      <c r="K40" s="17"/>
      <c r="L40" s="17"/>
      <c r="M40" s="17"/>
      <c r="N40" s="17"/>
      <c r="O40" s="16" t="str">
        <f t="shared" si="3"/>
        <v>No</v>
      </c>
      <c r="P40" s="27" t="str">
        <f t="shared" si="4"/>
        <v>No</v>
      </c>
      <c r="Q40" s="27" t="str">
        <f t="shared" si="5"/>
        <v>No</v>
      </c>
      <c r="R40" s="27" t="s">
        <v>235</v>
      </c>
      <c r="S40" s="28"/>
      <c r="Y40" s="17" t="s">
        <v>246</v>
      </c>
      <c r="Z40" s="23" t="e">
        <f>(Z38/Z39)*100</f>
        <v>#DIV/0!</v>
      </c>
    </row>
    <row r="41" spans="1:29" x14ac:dyDescent="0.25">
      <c r="A41" s="16">
        <v>37</v>
      </c>
      <c r="B41" s="17" t="s">
        <v>109</v>
      </c>
      <c r="C41" s="16">
        <v>1</v>
      </c>
      <c r="D41" s="16">
        <v>1</v>
      </c>
      <c r="E41" s="16">
        <v>1</v>
      </c>
      <c r="F41" s="16">
        <v>1</v>
      </c>
      <c r="G41" s="16"/>
      <c r="H41" s="16"/>
      <c r="I41" s="16"/>
      <c r="J41" s="16"/>
      <c r="K41" s="16"/>
      <c r="L41" s="16"/>
      <c r="M41" s="16"/>
      <c r="N41" s="16"/>
      <c r="O41" s="16" t="str">
        <f t="shared" si="3"/>
        <v>No</v>
      </c>
      <c r="P41" s="27" t="str">
        <f t="shared" si="4"/>
        <v>No</v>
      </c>
      <c r="Q41" s="27" t="str">
        <f t="shared" si="5"/>
        <v>No</v>
      </c>
      <c r="R41" s="27" t="s">
        <v>235</v>
      </c>
      <c r="S41" s="28"/>
    </row>
    <row r="42" spans="1:29" x14ac:dyDescent="0.25">
      <c r="A42" s="16">
        <v>38</v>
      </c>
      <c r="B42" s="17" t="s">
        <v>113</v>
      </c>
      <c r="C42" s="16">
        <v>0.5</v>
      </c>
      <c r="D42" s="16">
        <v>0.5</v>
      </c>
      <c r="E42" s="16">
        <v>0.5</v>
      </c>
      <c r="F42" s="16">
        <v>0.5</v>
      </c>
      <c r="G42" s="16"/>
      <c r="H42" s="16"/>
      <c r="I42" s="16"/>
      <c r="J42" s="16"/>
      <c r="K42" s="16"/>
      <c r="L42" s="16"/>
      <c r="M42" s="16"/>
      <c r="N42" s="16"/>
      <c r="O42" s="16" t="str">
        <f t="shared" si="3"/>
        <v>No</v>
      </c>
      <c r="P42" s="27" t="str">
        <f t="shared" si="4"/>
        <v>No</v>
      </c>
      <c r="Q42" s="27" t="str">
        <f t="shared" si="5"/>
        <v>No</v>
      </c>
      <c r="R42" s="27" t="s">
        <v>235</v>
      </c>
      <c r="Y42" s="128" t="s">
        <v>258</v>
      </c>
      <c r="Z42" s="128"/>
    </row>
    <row r="43" spans="1:29" x14ac:dyDescent="0.25">
      <c r="A43" s="16">
        <v>39</v>
      </c>
      <c r="B43" s="17" t="s">
        <v>121</v>
      </c>
      <c r="C43" s="16">
        <v>1</v>
      </c>
      <c r="D43" s="16">
        <v>1</v>
      </c>
      <c r="E43" s="16">
        <v>1</v>
      </c>
      <c r="F43" s="16">
        <v>1</v>
      </c>
      <c r="G43" s="16">
        <v>1</v>
      </c>
      <c r="H43" s="16"/>
      <c r="I43" s="16"/>
      <c r="J43" s="16"/>
      <c r="K43" s="16"/>
      <c r="L43" s="16"/>
      <c r="M43" s="16"/>
      <c r="N43" s="16"/>
      <c r="O43" s="16" t="str">
        <f t="shared" si="3"/>
        <v>No</v>
      </c>
      <c r="P43" s="27" t="str">
        <f t="shared" si="4"/>
        <v>No</v>
      </c>
      <c r="Q43" s="27" t="str">
        <f t="shared" si="5"/>
        <v>No</v>
      </c>
      <c r="R43" s="27" t="s">
        <v>235</v>
      </c>
      <c r="Y43" s="17" t="s">
        <v>248</v>
      </c>
      <c r="Z43" s="17"/>
    </row>
    <row r="44" spans="1:29" x14ac:dyDescent="0.25">
      <c r="A44" s="16">
        <v>40</v>
      </c>
      <c r="B44" s="17" t="s">
        <v>534</v>
      </c>
      <c r="C44" s="16">
        <v>1</v>
      </c>
      <c r="D44" s="16">
        <v>1</v>
      </c>
      <c r="E44" s="16">
        <v>1</v>
      </c>
      <c r="F44" s="16">
        <v>1</v>
      </c>
      <c r="G44" s="16"/>
      <c r="H44" s="16"/>
      <c r="I44" s="16"/>
      <c r="J44" s="16"/>
      <c r="K44" s="16"/>
      <c r="L44" s="16"/>
      <c r="M44" s="16"/>
      <c r="N44" s="16"/>
      <c r="O44" s="16" t="str">
        <f t="shared" si="3"/>
        <v>No</v>
      </c>
      <c r="P44" s="16" t="str">
        <f t="shared" si="4"/>
        <v>No</v>
      </c>
      <c r="Q44" s="16" t="str">
        <f t="shared" si="5"/>
        <v>No</v>
      </c>
      <c r="R44" s="16" t="s">
        <v>235</v>
      </c>
      <c r="Y44" s="17" t="s">
        <v>253</v>
      </c>
      <c r="Z44" s="17"/>
    </row>
    <row r="45" spans="1:29" x14ac:dyDescent="0.25">
      <c r="A45" s="16">
        <v>41</v>
      </c>
      <c r="B45" s="17" t="s">
        <v>259</v>
      </c>
      <c r="C45" s="16">
        <v>1</v>
      </c>
      <c r="D45" s="16">
        <v>1</v>
      </c>
      <c r="E45" s="16">
        <v>1</v>
      </c>
      <c r="F45" s="16">
        <v>1</v>
      </c>
      <c r="G45" s="16"/>
      <c r="H45" s="16"/>
      <c r="I45" s="16"/>
      <c r="J45" s="16"/>
      <c r="K45" s="16"/>
      <c r="L45" s="16"/>
      <c r="M45" s="16"/>
      <c r="N45" s="16"/>
      <c r="O45" s="16" t="str">
        <f t="shared" si="3"/>
        <v>No</v>
      </c>
      <c r="P45" s="27" t="str">
        <f t="shared" si="4"/>
        <v>No</v>
      </c>
      <c r="Q45" s="27" t="str">
        <f t="shared" si="5"/>
        <v>No</v>
      </c>
      <c r="R45" s="16" t="s">
        <v>235</v>
      </c>
      <c r="Y45" s="17" t="s">
        <v>246</v>
      </c>
      <c r="Z45" s="23" t="e">
        <f>(Z43/Z44)*100</f>
        <v>#DIV/0!</v>
      </c>
    </row>
    <row r="46" spans="1:29" x14ac:dyDescent="0.25">
      <c r="A46" s="16">
        <v>42</v>
      </c>
      <c r="B46" s="17" t="s">
        <v>260</v>
      </c>
      <c r="C46" s="16">
        <v>0.5</v>
      </c>
      <c r="D46" s="16">
        <v>1</v>
      </c>
      <c r="E46" s="16">
        <v>1</v>
      </c>
      <c r="F46" s="16">
        <v>1</v>
      </c>
      <c r="G46" s="16"/>
      <c r="H46" s="16"/>
      <c r="I46" s="16"/>
      <c r="J46" s="16"/>
      <c r="K46" s="16"/>
      <c r="L46" s="16"/>
      <c r="M46" s="16"/>
      <c r="N46" s="16"/>
      <c r="O46" s="16" t="str">
        <f t="shared" si="3"/>
        <v>No</v>
      </c>
      <c r="P46" s="27" t="str">
        <f t="shared" si="4"/>
        <v>No</v>
      </c>
      <c r="Q46" s="27" t="str">
        <f t="shared" si="5"/>
        <v>No</v>
      </c>
      <c r="R46" s="27" t="s">
        <v>235</v>
      </c>
    </row>
    <row r="47" spans="1:29" x14ac:dyDescent="0.25">
      <c r="A47" s="16">
        <v>43</v>
      </c>
      <c r="B47" s="17" t="s">
        <v>261</v>
      </c>
      <c r="C47" s="16">
        <v>0.5</v>
      </c>
      <c r="D47" s="16">
        <v>0.5</v>
      </c>
      <c r="E47" s="16">
        <v>0.5</v>
      </c>
      <c r="F47" s="16">
        <v>0.5</v>
      </c>
      <c r="G47" s="16">
        <v>0.5</v>
      </c>
      <c r="H47" s="16">
        <v>0.5</v>
      </c>
      <c r="I47" s="16">
        <v>0.5</v>
      </c>
      <c r="J47" s="16">
        <v>0.5</v>
      </c>
      <c r="K47" s="16">
        <v>0.5</v>
      </c>
      <c r="L47" s="16">
        <v>0.5</v>
      </c>
      <c r="M47" s="16">
        <v>0.5</v>
      </c>
      <c r="N47" s="16">
        <v>0.5</v>
      </c>
      <c r="O47" s="16" t="str">
        <f t="shared" si="3"/>
        <v>No</v>
      </c>
      <c r="P47" s="27" t="str">
        <f t="shared" si="4"/>
        <v>No</v>
      </c>
      <c r="Q47" s="27" t="str">
        <f t="shared" si="5"/>
        <v>No</v>
      </c>
      <c r="R47" s="27" t="s">
        <v>235</v>
      </c>
      <c r="Y47" s="128" t="s">
        <v>262</v>
      </c>
      <c r="Z47" s="128"/>
    </row>
    <row r="48" spans="1:29" x14ac:dyDescent="0.25">
      <c r="A48" s="16">
        <v>44</v>
      </c>
      <c r="B48" s="17" t="s">
        <v>162</v>
      </c>
      <c r="C48" s="16">
        <v>0</v>
      </c>
      <c r="D48" s="16">
        <v>1</v>
      </c>
      <c r="E48" s="16">
        <v>1</v>
      </c>
      <c r="F48" s="16">
        <v>0</v>
      </c>
      <c r="G48" s="16"/>
      <c r="H48" s="16"/>
      <c r="I48" s="16"/>
      <c r="J48" s="16"/>
      <c r="K48" s="16"/>
      <c r="L48" s="16"/>
      <c r="M48" s="16"/>
      <c r="N48" s="16"/>
      <c r="O48" s="16" t="str">
        <f t="shared" si="3"/>
        <v>No</v>
      </c>
      <c r="P48" s="27" t="str">
        <f t="shared" si="4"/>
        <v>Yes</v>
      </c>
      <c r="Q48" s="27" t="str">
        <f t="shared" si="5"/>
        <v>No</v>
      </c>
      <c r="R48" s="27" t="s">
        <v>235</v>
      </c>
      <c r="Y48" s="17" t="s">
        <v>248</v>
      </c>
      <c r="Z48" s="17"/>
    </row>
    <row r="49" spans="1:26" x14ac:dyDescent="0.25">
      <c r="A49" s="16">
        <v>45</v>
      </c>
      <c r="B49" s="17" t="s">
        <v>201</v>
      </c>
      <c r="C49" s="16">
        <v>1</v>
      </c>
      <c r="D49" s="16">
        <v>1</v>
      </c>
      <c r="E49" s="16">
        <v>1</v>
      </c>
      <c r="F49" s="16">
        <v>0</v>
      </c>
      <c r="G49" s="16"/>
      <c r="H49" s="16"/>
      <c r="I49" s="16"/>
      <c r="J49" s="16"/>
      <c r="K49" s="16"/>
      <c r="L49" s="16"/>
      <c r="M49" s="16"/>
      <c r="N49" s="16"/>
      <c r="O49" s="16" t="str">
        <f t="shared" si="3"/>
        <v>Yes</v>
      </c>
      <c r="P49" s="27" t="str">
        <f t="shared" si="4"/>
        <v>No</v>
      </c>
      <c r="Q49" s="27" t="str">
        <f t="shared" si="5"/>
        <v>No</v>
      </c>
      <c r="R49" s="27" t="s">
        <v>235</v>
      </c>
      <c r="Y49" s="17" t="s">
        <v>253</v>
      </c>
      <c r="Z49" s="17"/>
    </row>
    <row r="50" spans="1:26" x14ac:dyDescent="0.25">
      <c r="A50" s="16">
        <v>51</v>
      </c>
      <c r="B50" s="17" t="s">
        <v>543</v>
      </c>
      <c r="C50" s="16"/>
      <c r="D50" s="16"/>
      <c r="E50" s="16"/>
      <c r="F50" s="16"/>
      <c r="G50" s="16"/>
      <c r="H50" s="16"/>
      <c r="I50" s="16"/>
      <c r="J50" s="16"/>
      <c r="K50" s="16"/>
      <c r="L50" s="16"/>
      <c r="M50" s="16"/>
      <c r="N50" s="16"/>
      <c r="O50" s="16" t="str">
        <f t="shared" si="3"/>
        <v>No</v>
      </c>
      <c r="P50" s="27" t="str">
        <f t="shared" si="4"/>
        <v>No</v>
      </c>
      <c r="Q50" s="27" t="str">
        <f t="shared" si="5"/>
        <v>No</v>
      </c>
      <c r="R50" s="27" t="s">
        <v>235</v>
      </c>
      <c r="Y50" s="17" t="s">
        <v>246</v>
      </c>
      <c r="Z50" s="23" t="e">
        <f>(Z48/Z49)*100</f>
        <v>#DIV/0!</v>
      </c>
    </row>
    <row r="51" spans="1:26" x14ac:dyDescent="0.25">
      <c r="A51" s="16">
        <v>46</v>
      </c>
      <c r="B51" s="17" t="s">
        <v>124</v>
      </c>
      <c r="C51" s="16">
        <v>1</v>
      </c>
      <c r="D51" s="16">
        <v>1</v>
      </c>
      <c r="E51" s="16">
        <v>1</v>
      </c>
      <c r="F51" s="16">
        <v>1</v>
      </c>
      <c r="G51" s="16"/>
      <c r="H51" s="16"/>
      <c r="I51" s="16"/>
      <c r="J51" s="16"/>
      <c r="K51" s="16"/>
      <c r="L51" s="16"/>
      <c r="M51" s="16"/>
      <c r="N51" s="16"/>
      <c r="O51" s="16" t="str">
        <f t="shared" si="3"/>
        <v>No</v>
      </c>
      <c r="P51" s="16" t="str">
        <f t="shared" si="4"/>
        <v>No</v>
      </c>
      <c r="Q51" s="16" t="str">
        <f t="shared" si="5"/>
        <v>No</v>
      </c>
      <c r="R51" s="16" t="s">
        <v>235</v>
      </c>
    </row>
    <row r="52" spans="1:26" x14ac:dyDescent="0.25">
      <c r="A52" s="16">
        <v>47</v>
      </c>
      <c r="B52" s="17" t="s">
        <v>126</v>
      </c>
      <c r="C52" s="16">
        <v>1</v>
      </c>
      <c r="D52" s="16">
        <v>1</v>
      </c>
      <c r="E52" s="16">
        <v>1</v>
      </c>
      <c r="F52" s="16">
        <v>0</v>
      </c>
      <c r="G52" s="16"/>
      <c r="H52" s="16"/>
      <c r="I52" s="16"/>
      <c r="J52" s="16"/>
      <c r="K52" s="16"/>
      <c r="L52" s="16"/>
      <c r="M52" s="16"/>
      <c r="N52" s="16"/>
      <c r="O52" s="16" t="str">
        <f t="shared" si="3"/>
        <v>Yes</v>
      </c>
      <c r="P52" s="27" t="str">
        <f t="shared" si="4"/>
        <v>No</v>
      </c>
      <c r="Q52" s="27" t="str">
        <f t="shared" si="5"/>
        <v>No</v>
      </c>
      <c r="R52" s="27" t="s">
        <v>235</v>
      </c>
    </row>
    <row r="53" spans="1:26" x14ac:dyDescent="0.25">
      <c r="A53" s="16">
        <v>48</v>
      </c>
      <c r="B53" s="17" t="s">
        <v>263</v>
      </c>
      <c r="C53" s="16">
        <v>1</v>
      </c>
      <c r="D53" s="16">
        <v>0</v>
      </c>
      <c r="E53" s="16">
        <v>0</v>
      </c>
      <c r="F53" s="16">
        <v>1</v>
      </c>
      <c r="G53" s="16"/>
      <c r="H53" s="16"/>
      <c r="I53" s="16"/>
      <c r="J53" s="16"/>
      <c r="K53" s="16"/>
      <c r="L53" s="16"/>
      <c r="M53" s="16"/>
      <c r="N53" s="16"/>
      <c r="O53" s="16" t="str">
        <f t="shared" si="3"/>
        <v>No</v>
      </c>
      <c r="P53" s="27" t="str">
        <f t="shared" si="4"/>
        <v>Yes</v>
      </c>
      <c r="Q53" s="27" t="str">
        <f t="shared" si="5"/>
        <v>No</v>
      </c>
      <c r="R53" s="27" t="s">
        <v>235</v>
      </c>
      <c r="Y53" s="17" t="s">
        <v>248</v>
      </c>
      <c r="Z53" s="17"/>
    </row>
    <row r="54" spans="1:26" x14ac:dyDescent="0.25">
      <c r="A54" s="16">
        <v>49</v>
      </c>
      <c r="B54" s="17" t="s">
        <v>131</v>
      </c>
      <c r="C54" s="16">
        <v>1</v>
      </c>
      <c r="D54" s="16">
        <v>1</v>
      </c>
      <c r="E54" s="16">
        <v>1</v>
      </c>
      <c r="F54" s="16">
        <v>0</v>
      </c>
      <c r="G54" s="16"/>
      <c r="H54" s="16"/>
      <c r="I54" s="16"/>
      <c r="J54" s="16"/>
      <c r="K54" s="16"/>
      <c r="L54" s="16"/>
      <c r="M54" s="16"/>
      <c r="N54" s="16"/>
      <c r="O54" s="16" t="str">
        <f t="shared" si="3"/>
        <v>Yes</v>
      </c>
      <c r="P54" s="27" t="str">
        <f t="shared" si="4"/>
        <v>No</v>
      </c>
      <c r="Q54" s="27" t="str">
        <f t="shared" si="5"/>
        <v>No</v>
      </c>
      <c r="R54" s="27" t="s">
        <v>254</v>
      </c>
      <c r="Y54" s="17" t="s">
        <v>253</v>
      </c>
      <c r="Z54" s="17"/>
    </row>
    <row r="55" spans="1:26" x14ac:dyDescent="0.25">
      <c r="A55" s="16">
        <v>50</v>
      </c>
      <c r="B55" s="17" t="s">
        <v>134</v>
      </c>
      <c r="C55" s="16">
        <v>1</v>
      </c>
      <c r="D55" s="16">
        <v>1</v>
      </c>
      <c r="E55" s="16">
        <v>1</v>
      </c>
      <c r="F55" s="16">
        <v>1</v>
      </c>
      <c r="G55" s="16">
        <v>0.5</v>
      </c>
      <c r="H55" s="16">
        <v>0.5</v>
      </c>
      <c r="I55" s="16">
        <v>0.5</v>
      </c>
      <c r="J55" s="16">
        <v>0.5</v>
      </c>
      <c r="K55" s="16">
        <v>0.5</v>
      </c>
      <c r="L55" s="16">
        <v>0.5</v>
      </c>
      <c r="M55" s="16">
        <v>0.5</v>
      </c>
      <c r="N55" s="16">
        <v>0.5</v>
      </c>
      <c r="O55" s="16" t="str">
        <f t="shared" si="3"/>
        <v>No</v>
      </c>
      <c r="P55" s="27" t="str">
        <f t="shared" si="4"/>
        <v>No</v>
      </c>
      <c r="Q55" s="27" t="str">
        <f t="shared" si="5"/>
        <v>No</v>
      </c>
      <c r="R55" s="27" t="s">
        <v>235</v>
      </c>
      <c r="Y55" s="17" t="s">
        <v>246</v>
      </c>
      <c r="Z55" s="23" t="e">
        <f>(Z53/Z54)*100</f>
        <v>#DIV/0!</v>
      </c>
    </row>
    <row r="56" spans="1:26" x14ac:dyDescent="0.25">
      <c r="A56" s="16">
        <v>51</v>
      </c>
      <c r="B56" s="17" t="s">
        <v>546</v>
      </c>
      <c r="C56" s="16">
        <v>0.5</v>
      </c>
      <c r="D56" s="16">
        <v>0.5</v>
      </c>
      <c r="E56" s="16">
        <v>0.5</v>
      </c>
      <c r="F56" s="16">
        <v>0.5</v>
      </c>
      <c r="G56" s="16">
        <v>0.5</v>
      </c>
      <c r="H56" s="17"/>
      <c r="I56" s="17"/>
      <c r="J56" s="17"/>
      <c r="K56" s="17"/>
      <c r="L56" s="17"/>
      <c r="M56" s="17"/>
      <c r="N56" s="17"/>
      <c r="O56" s="16" t="str">
        <f t="shared" ref="O56" si="6">IF(COUNTIF(C56:N56, 0) = 1, "Yes", "No")</f>
        <v>No</v>
      </c>
      <c r="P56" s="27" t="str">
        <f t="shared" ref="P56" si="7">IF(COUNTIF(C56:N56, 0) = 2, "Yes", "No")</f>
        <v>No</v>
      </c>
      <c r="Q56" s="27" t="str">
        <f t="shared" ref="Q56" si="8">IF(COUNTIF(C56:N56, 0) &gt;= 3, "Yes", "No")</f>
        <v>No</v>
      </c>
      <c r="R56" s="27" t="s">
        <v>235</v>
      </c>
    </row>
  </sheetData>
  <autoFilter ref="A4:R55" xr:uid="{8E8A0D68-E697-4C09-A9FA-E5A97A3CA6C8}"/>
  <sortState xmlns:xlrd2="http://schemas.microsoft.com/office/spreadsheetml/2017/richdata2" ref="A5:R55">
    <sortCondition ref="B5:B55"/>
  </sortState>
  <mergeCells count="13">
    <mergeCell ref="Y47:Z47"/>
    <mergeCell ref="Y42:Z42"/>
    <mergeCell ref="Y37:Z37"/>
    <mergeCell ref="Y32:Z32"/>
    <mergeCell ref="A2:R2"/>
    <mergeCell ref="Y27:Z27"/>
    <mergeCell ref="Y22:Z22"/>
    <mergeCell ref="C3:N3"/>
    <mergeCell ref="Y7:Z7"/>
    <mergeCell ref="Y12:Z12"/>
    <mergeCell ref="Y17:Z17"/>
    <mergeCell ref="O3:R3"/>
    <mergeCell ref="Y21:Z21"/>
  </mergeCells>
  <phoneticPr fontId="1" type="noConversion"/>
  <pageMargins left="0.7" right="0.7" top="0.75" bottom="0.75" header="0.3" footer="0.3"/>
  <pageSetup scale="56" orientation="landscape" r:id="rId1"/>
  <colBreaks count="1" manualBreakCount="1">
    <brk id="18" max="1048575" man="1"/>
  </colBreaks>
  <drawing r:id="rId2"/>
  <extLst>
    <ext xmlns:x14="http://schemas.microsoft.com/office/spreadsheetml/2009/9/main" uri="{78C0D931-6437-407d-A8EE-F0AAD7539E65}">
      <x14:conditionalFormattings>
        <x14:conditionalFormatting xmlns:xm="http://schemas.microsoft.com/office/excel/2006/main">
          <x14:cfRule type="iconSet" priority="6" id="{652ED857-024D-4A9E-91E7-4B7D263A3981}">
            <x14:iconSet showValue="0" custom="1">
              <x14:cfvo type="percent">
                <xm:f>0</xm:f>
              </x14:cfvo>
              <x14:cfvo type="num" gte="0">
                <xm:f>0</xm:f>
              </x14:cfvo>
              <x14:cfvo type="num">
                <xm:f>1</xm:f>
              </x14:cfvo>
              <x14:cfIcon iconSet="3TrafficLights1" iconId="0"/>
              <x14:cfIcon iconSet="5Quarters" iconId="0"/>
              <x14:cfIcon iconSet="3TrafficLights1" iconId="2"/>
            </x14:iconSet>
          </x14:cfRule>
          <xm:sqref>C52:D52</xm:sqref>
        </x14:conditionalFormatting>
        <x14:conditionalFormatting xmlns:xm="http://schemas.microsoft.com/office/excel/2006/main">
          <x14:cfRule type="iconSet" priority="3" id="{AB669DED-D780-4B1B-B43B-57809700B86D}">
            <x14:iconSet showValue="0" custom="1">
              <x14:cfvo type="percent">
                <xm:f>0</xm:f>
              </x14:cfvo>
              <x14:cfvo type="num" gte="0">
                <xm:f>0</xm:f>
              </x14:cfvo>
              <x14:cfvo type="num">
                <xm:f>1</xm:f>
              </x14:cfvo>
              <x14:cfIcon iconSet="3TrafficLights1" iconId="0"/>
              <x14:cfIcon iconSet="5Quarters" iconId="0"/>
              <x14:cfIcon iconSet="3TrafficLights1" iconId="2"/>
            </x14:iconSet>
          </x14:cfRule>
          <xm:sqref>C54:D55</xm:sqref>
        </x14:conditionalFormatting>
        <x14:conditionalFormatting xmlns:xm="http://schemas.microsoft.com/office/excel/2006/main">
          <x14:cfRule type="iconSet" priority="1" id="{B1DECD3F-1399-47B7-BEE2-D01A5DBEE223}">
            <x14:iconSet showValue="0" custom="1">
              <x14:cfvo type="percent">
                <xm:f>0</xm:f>
              </x14:cfvo>
              <x14:cfvo type="num" gte="0">
                <xm:f>0</xm:f>
              </x14:cfvo>
              <x14:cfvo type="num">
                <xm:f>1</xm:f>
              </x14:cfvo>
              <x14:cfIcon iconSet="3TrafficLights1" iconId="0"/>
              <x14:cfIcon iconSet="5Quarters" iconId="0"/>
              <x14:cfIcon iconSet="3TrafficLights1" iconId="2"/>
            </x14:iconSet>
          </x14:cfRule>
          <xm:sqref>C56:G56</xm:sqref>
        </x14:conditionalFormatting>
        <x14:conditionalFormatting xmlns:xm="http://schemas.microsoft.com/office/excel/2006/main">
          <x14:cfRule type="iconSet" priority="12" id="{3D348A3B-BDD4-4B84-B3BD-199508CC71B5}">
            <x14:iconSet showValue="0" custom="1">
              <x14:cfvo type="percent">
                <xm:f>0</xm:f>
              </x14:cfvo>
              <x14:cfvo type="num" gte="0">
                <xm:f>0</xm:f>
              </x14:cfvo>
              <x14:cfvo type="num">
                <xm:f>1</xm:f>
              </x14:cfvo>
              <x14:cfIcon iconSet="3TrafficLights1" iconId="0"/>
              <x14:cfIcon iconSet="5Quarters" iconId="0"/>
              <x14:cfIcon iconSet="3TrafficLights1" iconId="2"/>
            </x14:iconSet>
          </x14:cfRule>
          <xm:sqref>C48:H48 C47:N47</xm:sqref>
        </x14:conditionalFormatting>
        <x14:conditionalFormatting xmlns:xm="http://schemas.microsoft.com/office/excel/2006/main">
          <x14:cfRule type="iconSet" priority="36" id="{CDC3E997-1982-4CEE-9FE3-F6BF82DD0CA7}">
            <x14:iconSet showValue="0" custom="1">
              <x14:cfvo type="percent">
                <xm:f>0</xm:f>
              </x14:cfvo>
              <x14:cfvo type="num" gte="0">
                <xm:f>0</xm:f>
              </x14:cfvo>
              <x14:cfvo type="num">
                <xm:f>1</xm:f>
              </x14:cfvo>
              <x14:cfIcon iconSet="3TrafficLights1" iconId="0"/>
              <x14:cfIcon iconSet="5Quarters" iconId="0"/>
              <x14:cfIcon iconSet="3TrafficLights1" iconId="2"/>
            </x14:iconSet>
          </x14:cfRule>
          <xm:sqref>C49:N51</xm:sqref>
        </x14:conditionalFormatting>
        <x14:conditionalFormatting xmlns:xm="http://schemas.microsoft.com/office/excel/2006/main">
          <x14:cfRule type="iconSet" priority="4" id="{CE013053-2999-4138-8B48-9FF1DCBDE2D1}">
            <x14:iconSet showValue="0" custom="1">
              <x14:cfvo type="percent">
                <xm:f>0</xm:f>
              </x14:cfvo>
              <x14:cfvo type="num" gte="0">
                <xm:f>0</xm:f>
              </x14:cfvo>
              <x14:cfvo type="num">
                <xm:f>1</xm:f>
              </x14:cfvo>
              <x14:cfIcon iconSet="3TrafficLights1" iconId="0"/>
              <x14:cfIcon iconSet="5Quarters" iconId="0"/>
              <x14:cfIcon iconSet="3TrafficLights1" iconId="2"/>
            </x14:iconSet>
          </x14:cfRule>
          <xm:sqref>C53:N53 G53:R55 O56:R56</xm:sqref>
        </x14:conditionalFormatting>
        <x14:conditionalFormatting xmlns:xm="http://schemas.microsoft.com/office/excel/2006/main">
          <x14:cfRule type="iconSet" priority="26" id="{C9CFA181-79D3-41C5-96A0-9B583BEB4AC3}">
            <x14:iconSet showValue="0" custom="1">
              <x14:cfvo type="percent">
                <xm:f>0</xm:f>
              </x14:cfvo>
              <x14:cfvo type="num" gte="0">
                <xm:f>0</xm:f>
              </x14:cfvo>
              <x14:cfvo type="num">
                <xm:f>1</xm:f>
              </x14:cfvo>
              <x14:cfIcon iconSet="3TrafficLights1" iconId="0"/>
              <x14:cfIcon iconSet="5Quarters" iconId="0"/>
              <x14:cfIcon iconSet="3TrafficLights1" iconId="2"/>
            </x14:iconSet>
          </x14:cfRule>
          <xm:sqref>E42:E46 F34:F46 G42:G46 P40:R46 C32:D46 E32:G34 I48:N48 N48:N51 C15:G31 C5:N14 H36:N46 E36:G42 E35:N35 H15:N34</xm:sqref>
        </x14:conditionalFormatting>
        <x14:conditionalFormatting xmlns:xm="http://schemas.microsoft.com/office/excel/2006/main">
          <x14:cfRule type="iconSet" priority="13" id="{BCF9F5FB-2055-44F5-9963-EA1BDECC4D13}">
            <x14:iconSet showValue="0" custom="1">
              <x14:cfvo type="percent">
                <xm:f>0</xm:f>
              </x14:cfvo>
              <x14:cfvo type="num" gte="0">
                <xm:f>0</xm:f>
              </x14:cfvo>
              <x14:cfvo type="num">
                <xm:f>1</xm:f>
              </x14:cfvo>
              <x14:cfIcon iconSet="3TrafficLights1" iconId="0"/>
              <x14:cfIcon iconSet="5Quarters" iconId="0"/>
              <x14:cfIcon iconSet="3TrafficLights1" iconId="2"/>
            </x14:iconSet>
          </x14:cfRule>
          <xm:sqref>E43</xm:sqref>
        </x14:conditionalFormatting>
        <x14:conditionalFormatting xmlns:xm="http://schemas.microsoft.com/office/excel/2006/main">
          <x14:cfRule type="iconSet" priority="2" id="{213BC6D1-5917-49C9-94C4-14838649036B}">
            <x14:iconSet showValue="0" custom="1">
              <x14:cfvo type="percent">
                <xm:f>0</xm:f>
              </x14:cfvo>
              <x14:cfvo type="num" gte="0">
                <xm:f>0</xm:f>
              </x14:cfvo>
              <x14:cfvo type="num">
                <xm:f>1</xm:f>
              </x14:cfvo>
              <x14:cfIcon iconSet="3TrafficLights1" iconId="0"/>
              <x14:cfIcon iconSet="5Quarters" iconId="0"/>
              <x14:cfIcon iconSet="3TrafficLights1" iconId="2"/>
            </x14:iconSet>
          </x14:cfRule>
          <xm:sqref>E54:F55</xm:sqref>
        </x14:conditionalFormatting>
        <x14:conditionalFormatting xmlns:xm="http://schemas.microsoft.com/office/excel/2006/main">
          <x14:cfRule type="iconSet" priority="5" id="{BABBA284-CE3C-493A-B407-9B46A1B8C4E5}">
            <x14:iconSet showValue="0" custom="1">
              <x14:cfvo type="percent">
                <xm:f>0</xm:f>
              </x14:cfvo>
              <x14:cfvo type="num" gte="0">
                <xm:f>0</xm:f>
              </x14:cfvo>
              <x14:cfvo type="num">
                <xm:f>1</xm:f>
              </x14:cfvo>
              <x14:cfIcon iconSet="3TrafficLights1" iconId="0"/>
              <x14:cfIcon iconSet="5Quarters" iconId="0"/>
              <x14:cfIcon iconSet="3TrafficLights1" iconId="2"/>
            </x14:iconSet>
          </x14:cfRule>
          <xm:sqref>E52:N52</xm:sqref>
        </x14:conditionalFormatting>
        <x14:conditionalFormatting xmlns:xm="http://schemas.microsoft.com/office/excel/2006/main">
          <x14:cfRule type="iconSet" priority="20" id="{ED424E51-9A03-4C4C-B2CC-0524865B80D4}">
            <x14:iconSet showValue="0" custom="1">
              <x14:cfvo type="percent">
                <xm:f>0</xm:f>
              </x14:cfvo>
              <x14:cfvo type="num" gte="0">
                <xm:f>0</xm:f>
              </x14:cfvo>
              <x14:cfvo type="num">
                <xm:f>1</xm:f>
              </x14:cfvo>
              <x14:cfIcon iconSet="3TrafficLights1" iconId="0"/>
              <x14:cfIcon iconSet="NoIcons" iconId="0"/>
              <x14:cfIcon iconSet="3TrafficLights1" iconId="2"/>
            </x14:iconSet>
          </x14:cfRule>
          <xm:sqref>U4</xm:sqref>
        </x14:conditionalFormatting>
        <x14:conditionalFormatting xmlns:xm="http://schemas.microsoft.com/office/excel/2006/main">
          <x14:cfRule type="iconSet" priority="19" id="{8BCBC3F4-1A34-4D95-A412-357D371F4FEB}">
            <x14:iconSet showValue="0" custom="1">
              <x14:cfvo type="percent">
                <xm:f>0</xm:f>
              </x14:cfvo>
              <x14:cfvo type="num" gte="0">
                <xm:f>0</xm:f>
              </x14:cfvo>
              <x14:cfvo type="num">
                <xm:f>1</xm:f>
              </x14:cfvo>
              <x14:cfIcon iconSet="3TrafficLights1" iconId="0"/>
              <x14:cfIcon iconSet="NoIcons" iconId="0"/>
              <x14:cfIcon iconSet="3TrafficLights1" iconId="2"/>
            </x14:iconSet>
          </x14:cfRule>
          <xm:sqref>U5</xm:sqref>
        </x14:conditionalFormatting>
        <x14:conditionalFormatting xmlns:xm="http://schemas.microsoft.com/office/excel/2006/main">
          <x14:cfRule type="iconSet" priority="18" id="{82422374-795F-4BB6-BB12-AB5CA00130A7}">
            <x14:iconSet showValue="0" custom="1">
              <x14:cfvo type="percent">
                <xm:f>0</xm:f>
              </x14:cfvo>
              <x14:cfvo type="num" gte="0">
                <xm:f>0</xm:f>
              </x14:cfvo>
              <x14:cfvo type="num">
                <xm:f>1</xm:f>
              </x14:cfvo>
              <x14:cfIcon iconSet="3TrafficLights1" iconId="0"/>
              <x14:cfIcon iconSet="5Quarters" iconId="0"/>
              <x14:cfIcon iconSet="3TrafficLights1" iconId="2"/>
            </x14:iconSet>
          </x14:cfRule>
          <xm:sqref>U6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9EB22-DCD2-45DE-B20E-4E52A9BBDB2B}">
  <dimension ref="A1:AJ141"/>
  <sheetViews>
    <sheetView zoomScale="85" zoomScaleNormal="85" workbookViewId="0">
      <selection activeCell="D5" sqref="D5"/>
    </sheetView>
  </sheetViews>
  <sheetFormatPr defaultRowHeight="15" x14ac:dyDescent="0.25"/>
  <cols>
    <col min="1" max="1" width="14.7109375" customWidth="1"/>
    <col min="2" max="2" width="39.7109375" customWidth="1"/>
    <col min="3" max="3" width="27.140625" customWidth="1"/>
    <col min="4" max="4" width="38.28515625" bestFit="1" customWidth="1"/>
    <col min="5" max="5" width="33.85546875" bestFit="1" customWidth="1"/>
    <col min="6" max="6" width="28.5703125" bestFit="1" customWidth="1"/>
    <col min="10" max="10" width="24.42578125" bestFit="1" customWidth="1"/>
    <col min="11" max="11" width="13.28515625" customWidth="1"/>
    <col min="14" max="14" width="16.42578125" bestFit="1" customWidth="1"/>
    <col min="15" max="15" width="30.5703125" bestFit="1" customWidth="1"/>
    <col min="18" max="18" width="30.5703125" bestFit="1" customWidth="1"/>
    <col min="21" max="21" width="12.42578125" customWidth="1"/>
    <col min="22" max="22" width="13.7109375" customWidth="1"/>
    <col min="23" max="23" width="19.28515625" customWidth="1"/>
    <col min="24" max="24" width="15.28515625" customWidth="1"/>
    <col min="25" max="25" width="17.85546875" customWidth="1"/>
    <col min="26" max="26" width="18.140625" customWidth="1"/>
    <col min="27" max="27" width="15" customWidth="1"/>
    <col min="28" max="28" width="16.42578125" customWidth="1"/>
    <col min="29" max="29" width="12.42578125" customWidth="1"/>
    <col min="30" max="30" width="10.140625" customWidth="1"/>
    <col min="31" max="31" width="9.28515625" customWidth="1"/>
    <col min="32" max="32" width="10.7109375" customWidth="1"/>
    <col min="33" max="33" width="9.28515625" customWidth="1"/>
    <col min="34" max="34" width="15.5703125" customWidth="1"/>
    <col min="35" max="35" width="21" customWidth="1"/>
    <col min="36" max="36" width="17.140625" customWidth="1"/>
  </cols>
  <sheetData>
    <row r="1" spans="1:10" x14ac:dyDescent="0.25">
      <c r="A1" t="s">
        <v>264</v>
      </c>
      <c r="B1" t="s">
        <v>265</v>
      </c>
      <c r="C1" t="s">
        <v>266</v>
      </c>
      <c r="D1" t="s">
        <v>246</v>
      </c>
      <c r="E1" t="s">
        <v>267</v>
      </c>
      <c r="J1" t="s">
        <v>268</v>
      </c>
    </row>
    <row r="2" spans="1:10" x14ac:dyDescent="0.25">
      <c r="A2" t="s">
        <v>237</v>
      </c>
      <c r="B2">
        <v>1</v>
      </c>
      <c r="C2">
        <v>47</v>
      </c>
      <c r="D2" s="45">
        <f>B2/C2*100</f>
        <v>2.1276595744680851</v>
      </c>
      <c r="E2">
        <v>1</v>
      </c>
      <c r="I2" t="s">
        <v>269</v>
      </c>
      <c r="J2">
        <v>0</v>
      </c>
    </row>
    <row r="3" spans="1:10" x14ac:dyDescent="0.25">
      <c r="A3" t="s">
        <v>247</v>
      </c>
      <c r="B3">
        <v>1</v>
      </c>
      <c r="C3">
        <v>48</v>
      </c>
      <c r="D3" s="45">
        <f t="shared" ref="D3:D11" si="0">B3/C3*100</f>
        <v>2.083333333333333</v>
      </c>
      <c r="E3">
        <v>1</v>
      </c>
      <c r="I3" t="s">
        <v>270</v>
      </c>
      <c r="J3">
        <v>0</v>
      </c>
    </row>
    <row r="4" spans="1:10" x14ac:dyDescent="0.25">
      <c r="A4" t="s">
        <v>251</v>
      </c>
      <c r="D4" s="45" t="e">
        <f t="shared" si="0"/>
        <v>#DIV/0!</v>
      </c>
      <c r="E4">
        <v>0</v>
      </c>
      <c r="I4" t="s">
        <v>271</v>
      </c>
      <c r="J4">
        <v>0</v>
      </c>
    </row>
    <row r="5" spans="1:10" x14ac:dyDescent="0.25">
      <c r="A5" t="s">
        <v>252</v>
      </c>
      <c r="D5" s="45" t="e">
        <f t="shared" si="0"/>
        <v>#DIV/0!</v>
      </c>
      <c r="E5">
        <v>0</v>
      </c>
    </row>
    <row r="6" spans="1:10" x14ac:dyDescent="0.25">
      <c r="A6" t="s">
        <v>8</v>
      </c>
      <c r="D6" s="45" t="e">
        <f t="shared" si="0"/>
        <v>#DIV/0!</v>
      </c>
      <c r="E6">
        <v>0</v>
      </c>
    </row>
    <row r="7" spans="1:10" x14ac:dyDescent="0.25">
      <c r="A7" t="s">
        <v>255</v>
      </c>
      <c r="D7" s="45" t="e">
        <f t="shared" si="0"/>
        <v>#DIV/0!</v>
      </c>
      <c r="E7">
        <v>0</v>
      </c>
    </row>
    <row r="8" spans="1:10" x14ac:dyDescent="0.25">
      <c r="A8" t="s">
        <v>256</v>
      </c>
      <c r="D8" s="45" t="e">
        <f t="shared" si="0"/>
        <v>#DIV/0!</v>
      </c>
      <c r="E8">
        <v>0</v>
      </c>
    </row>
    <row r="9" spans="1:10" x14ac:dyDescent="0.25">
      <c r="A9" t="s">
        <v>258</v>
      </c>
      <c r="D9" s="45" t="e">
        <f t="shared" si="0"/>
        <v>#DIV/0!</v>
      </c>
      <c r="E9">
        <v>0</v>
      </c>
    </row>
    <row r="10" spans="1:10" x14ac:dyDescent="0.25">
      <c r="A10" t="s">
        <v>262</v>
      </c>
      <c r="D10" s="45" t="e">
        <f t="shared" si="0"/>
        <v>#DIV/0!</v>
      </c>
      <c r="E10">
        <v>0</v>
      </c>
    </row>
    <row r="11" spans="1:10" x14ac:dyDescent="0.25">
      <c r="A11" t="s">
        <v>272</v>
      </c>
      <c r="D11" s="45" t="e">
        <f t="shared" si="0"/>
        <v>#DIV/0!</v>
      </c>
      <c r="E11">
        <v>0</v>
      </c>
    </row>
    <row r="12" spans="1:10" x14ac:dyDescent="0.25">
      <c r="A12" t="s">
        <v>273</v>
      </c>
      <c r="D12" s="45" t="e">
        <f t="shared" ref="D12:D13" si="1">B12/C12*100</f>
        <v>#DIV/0!</v>
      </c>
      <c r="E12">
        <v>0</v>
      </c>
    </row>
    <row r="13" spans="1:10" x14ac:dyDescent="0.25">
      <c r="A13" t="s">
        <v>274</v>
      </c>
      <c r="D13" s="45" t="e">
        <f t="shared" si="1"/>
        <v>#DIV/0!</v>
      </c>
      <c r="E13">
        <v>0</v>
      </c>
    </row>
    <row r="14" spans="1:10" x14ac:dyDescent="0.25">
      <c r="B14">
        <f>SUBTOTAL(109,Table1[Employees Who Did Not Submit])</f>
        <v>2</v>
      </c>
      <c r="D14" s="45"/>
      <c r="E14">
        <f>SUBTOTAL(109,Table1[[ Number of Incidents]])</f>
        <v>2</v>
      </c>
    </row>
    <row r="48" spans="2:6" x14ac:dyDescent="0.25">
      <c r="B48" t="s">
        <v>275</v>
      </c>
      <c r="C48" t="s">
        <v>265</v>
      </c>
      <c r="D48" t="s">
        <v>266</v>
      </c>
      <c r="E48" t="s">
        <v>246</v>
      </c>
      <c r="F48" t="s">
        <v>267</v>
      </c>
    </row>
    <row r="49" spans="5:5" x14ac:dyDescent="0.25">
      <c r="E49" s="45" t="e">
        <f t="shared" ref="E49:E53" si="2">C49/D49*100</f>
        <v>#DIV/0!</v>
      </c>
    </row>
    <row r="50" spans="5:5" x14ac:dyDescent="0.25">
      <c r="E50" s="45" t="e">
        <f t="shared" si="2"/>
        <v>#DIV/0!</v>
      </c>
    </row>
    <row r="51" spans="5:5" x14ac:dyDescent="0.25">
      <c r="E51" s="45" t="e">
        <f t="shared" si="2"/>
        <v>#DIV/0!</v>
      </c>
    </row>
    <row r="52" spans="5:5" x14ac:dyDescent="0.25">
      <c r="E52" s="45" t="e">
        <f t="shared" si="2"/>
        <v>#DIV/0!</v>
      </c>
    </row>
    <row r="53" spans="5:5" x14ac:dyDescent="0.25">
      <c r="E53" s="45" t="e">
        <f t="shared" si="2"/>
        <v>#DIV/0!</v>
      </c>
    </row>
    <row r="74" spans="13:17" x14ac:dyDescent="0.25">
      <c r="N74" t="s">
        <v>276</v>
      </c>
    </row>
    <row r="75" spans="13:17" x14ac:dyDescent="0.25">
      <c r="N75" s="46" t="s">
        <v>264</v>
      </c>
      <c r="O75" s="47" t="s">
        <v>246</v>
      </c>
      <c r="P75" s="46" t="s">
        <v>277</v>
      </c>
      <c r="Q75" s="47"/>
    </row>
    <row r="76" spans="13:17" x14ac:dyDescent="0.25">
      <c r="M76">
        <v>2024</v>
      </c>
      <c r="N76" s="48" t="s">
        <v>258</v>
      </c>
      <c r="O76" s="50">
        <v>13.793103448275861</v>
      </c>
      <c r="P76" s="48"/>
      <c r="Q76" s="50"/>
    </row>
    <row r="77" spans="13:17" x14ac:dyDescent="0.25">
      <c r="N77" s="49" t="s">
        <v>262</v>
      </c>
      <c r="O77" s="51">
        <v>41.379310344827587</v>
      </c>
      <c r="P77" s="49"/>
      <c r="Q77" s="51"/>
    </row>
    <row r="78" spans="13:17" x14ac:dyDescent="0.25">
      <c r="N78" s="48" t="s">
        <v>272</v>
      </c>
      <c r="O78" s="50">
        <v>26.666666666666668</v>
      </c>
      <c r="P78" s="48"/>
      <c r="Q78" s="50"/>
    </row>
    <row r="79" spans="13:17" x14ac:dyDescent="0.25">
      <c r="N79" s="49" t="s">
        <v>273</v>
      </c>
      <c r="O79" s="51">
        <v>16.129032258064516</v>
      </c>
      <c r="P79" s="49"/>
      <c r="Q79" s="51"/>
    </row>
    <row r="80" spans="13:17" x14ac:dyDescent="0.25">
      <c r="N80" s="48" t="s">
        <v>274</v>
      </c>
      <c r="O80" s="50">
        <v>12.121212121212121</v>
      </c>
      <c r="P80" s="48"/>
      <c r="Q80" s="50"/>
    </row>
    <row r="81" spans="13:17" x14ac:dyDescent="0.25">
      <c r="M81">
        <v>2025</v>
      </c>
      <c r="N81" s="48" t="s">
        <v>237</v>
      </c>
      <c r="O81" s="50">
        <v>2.7027027027027026</v>
      </c>
      <c r="P81" s="52">
        <v>1</v>
      </c>
      <c r="Q81" s="51"/>
    </row>
    <row r="82" spans="13:17" x14ac:dyDescent="0.25">
      <c r="N82" s="49" t="s">
        <v>247</v>
      </c>
      <c r="O82" s="51">
        <v>0</v>
      </c>
      <c r="P82" s="53">
        <v>0</v>
      </c>
      <c r="Q82" s="50"/>
    </row>
    <row r="83" spans="13:17" x14ac:dyDescent="0.25">
      <c r="N83" s="48" t="s">
        <v>251</v>
      </c>
      <c r="O83" s="50">
        <v>12.5</v>
      </c>
      <c r="P83" s="52">
        <v>0</v>
      </c>
      <c r="Q83" s="51"/>
    </row>
    <row r="84" spans="13:17" x14ac:dyDescent="0.25">
      <c r="N84" s="49" t="s">
        <v>252</v>
      </c>
      <c r="O84" s="51">
        <v>2.5</v>
      </c>
      <c r="P84" s="53">
        <v>2</v>
      </c>
      <c r="Q84" s="50"/>
    </row>
    <row r="85" spans="13:17" x14ac:dyDescent="0.25">
      <c r="N85" s="48" t="s">
        <v>8</v>
      </c>
      <c r="O85" s="50">
        <v>4.5454545454545459</v>
      </c>
      <c r="P85" s="52">
        <v>0</v>
      </c>
      <c r="Q85" s="51"/>
    </row>
    <row r="86" spans="13:17" x14ac:dyDescent="0.25">
      <c r="N86" s="49" t="s">
        <v>255</v>
      </c>
      <c r="O86" s="51">
        <v>0</v>
      </c>
      <c r="P86" s="53">
        <v>0</v>
      </c>
      <c r="Q86" s="50"/>
    </row>
    <row r="87" spans="13:17" x14ac:dyDescent="0.25">
      <c r="N87" s="48" t="s">
        <v>256</v>
      </c>
      <c r="O87" s="50">
        <v>8.5106382978723403</v>
      </c>
      <c r="P87" s="52">
        <v>0</v>
      </c>
      <c r="Q87" s="51"/>
    </row>
    <row r="88" spans="13:17" x14ac:dyDescent="0.25">
      <c r="N88" s="49" t="s">
        <v>258</v>
      </c>
      <c r="O88" s="51">
        <v>6.5217391304347823</v>
      </c>
      <c r="P88" s="53">
        <v>2</v>
      </c>
      <c r="Q88" s="50"/>
    </row>
    <row r="89" spans="13:17" x14ac:dyDescent="0.25">
      <c r="N89" s="48" t="s">
        <v>262</v>
      </c>
      <c r="O89" s="50">
        <v>6.8181818181818175</v>
      </c>
      <c r="P89" s="52">
        <v>0</v>
      </c>
      <c r="Q89" s="51"/>
    </row>
    <row r="90" spans="13:17" x14ac:dyDescent="0.25">
      <c r="N90" s="49" t="s">
        <v>272</v>
      </c>
      <c r="O90" s="51">
        <v>0</v>
      </c>
      <c r="P90" s="53">
        <v>0</v>
      </c>
      <c r="Q90" s="50"/>
    </row>
    <row r="91" spans="13:17" x14ac:dyDescent="0.25">
      <c r="N91" s="49" t="s">
        <v>273</v>
      </c>
      <c r="O91" s="51">
        <v>0</v>
      </c>
      <c r="P91" s="53">
        <v>0</v>
      </c>
      <c r="Q91" s="51"/>
    </row>
    <row r="92" spans="13:17" x14ac:dyDescent="0.25">
      <c r="N92" s="49" t="s">
        <v>274</v>
      </c>
      <c r="O92" s="51">
        <v>2.2000000000000002</v>
      </c>
      <c r="P92" s="53">
        <v>0</v>
      </c>
      <c r="Q92" s="51"/>
    </row>
    <row r="93" spans="13:17" x14ac:dyDescent="0.25">
      <c r="M93">
        <v>2026</v>
      </c>
      <c r="N93" s="99" t="s">
        <v>237</v>
      </c>
      <c r="O93" s="45">
        <v>2.13</v>
      </c>
      <c r="P93" s="100">
        <v>1</v>
      </c>
    </row>
    <row r="121" spans="21:36" ht="18.75" x14ac:dyDescent="0.3">
      <c r="U121" t="s">
        <v>238</v>
      </c>
      <c r="V121" s="58" t="s">
        <v>258</v>
      </c>
      <c r="W121" s="58" t="s">
        <v>262</v>
      </c>
      <c r="X121" s="58" t="s">
        <v>272</v>
      </c>
      <c r="Y121" s="58" t="s">
        <v>273</v>
      </c>
      <c r="Z121" s="58" t="s">
        <v>274</v>
      </c>
      <c r="AA121" s="58" t="s">
        <v>237</v>
      </c>
      <c r="AB121" s="58" t="s">
        <v>247</v>
      </c>
      <c r="AC121" s="58" t="s">
        <v>251</v>
      </c>
      <c r="AD121" s="58" t="s">
        <v>252</v>
      </c>
      <c r="AE121" s="58" t="s">
        <v>8</v>
      </c>
      <c r="AF121" s="58" t="s">
        <v>255</v>
      </c>
      <c r="AG121" s="58" t="s">
        <v>256</v>
      </c>
      <c r="AH121" s="58" t="s">
        <v>278</v>
      </c>
      <c r="AI121" s="58" t="s">
        <v>279</v>
      </c>
      <c r="AJ121" s="58" t="s">
        <v>280</v>
      </c>
    </row>
    <row r="122" spans="21:36" ht="18.75" x14ac:dyDescent="0.3">
      <c r="U122" t="s">
        <v>281</v>
      </c>
      <c r="V122" s="59">
        <v>13.793103448275861</v>
      </c>
      <c r="W122" s="59">
        <v>41.379310344827587</v>
      </c>
      <c r="X122" s="59">
        <v>26.666666666666668</v>
      </c>
      <c r="Y122" s="59">
        <v>16.129032258064516</v>
      </c>
      <c r="Z122" s="59">
        <v>12.121212121212121</v>
      </c>
      <c r="AA122" s="59">
        <v>2.7027027027027026</v>
      </c>
      <c r="AB122" s="59">
        <v>0</v>
      </c>
      <c r="AC122" s="59">
        <v>12.5</v>
      </c>
      <c r="AD122" s="59">
        <v>2.5</v>
      </c>
      <c r="AE122" s="59">
        <v>4.5454545454545459</v>
      </c>
      <c r="AF122" s="59">
        <v>0</v>
      </c>
      <c r="AG122" s="59">
        <v>8.5106382978723403</v>
      </c>
      <c r="AH122" s="59">
        <v>6.5217391304347823</v>
      </c>
      <c r="AI122" s="59">
        <v>6.8181818181818175</v>
      </c>
      <c r="AJ122" s="59">
        <v>0</v>
      </c>
    </row>
    <row r="123" spans="21:36" ht="18.75" x14ac:dyDescent="0.3">
      <c r="U123" t="s">
        <v>282</v>
      </c>
      <c r="V123" s="58"/>
      <c r="W123" s="58"/>
      <c r="X123" s="58"/>
      <c r="Y123" s="58"/>
      <c r="Z123" s="58"/>
      <c r="AA123" s="58">
        <v>1</v>
      </c>
      <c r="AB123" s="58">
        <v>0</v>
      </c>
      <c r="AC123" s="58">
        <v>0</v>
      </c>
      <c r="AD123" s="58">
        <v>2</v>
      </c>
      <c r="AE123" s="58">
        <v>0</v>
      </c>
      <c r="AF123" s="58">
        <v>0</v>
      </c>
      <c r="AG123" s="58">
        <v>0</v>
      </c>
      <c r="AH123" s="58">
        <v>2</v>
      </c>
      <c r="AI123" s="58">
        <v>0</v>
      </c>
      <c r="AJ123" s="58">
        <v>0</v>
      </c>
    </row>
    <row r="126" spans="21:36" x14ac:dyDescent="0.25">
      <c r="Z126" t="s">
        <v>283</v>
      </c>
      <c r="AA126" t="s">
        <v>4</v>
      </c>
      <c r="AB126" t="s">
        <v>5</v>
      </c>
      <c r="AC126" t="s">
        <v>6</v>
      </c>
      <c r="AD126" t="s">
        <v>7</v>
      </c>
      <c r="AE126" t="s">
        <v>8</v>
      </c>
      <c r="AF126" t="s">
        <v>9</v>
      </c>
      <c r="AG126" t="s">
        <v>10</v>
      </c>
      <c r="AH126" t="s">
        <v>11</v>
      </c>
      <c r="AI126" t="s">
        <v>12</v>
      </c>
      <c r="AJ126" t="s">
        <v>13</v>
      </c>
    </row>
    <row r="127" spans="21:36" x14ac:dyDescent="0.25">
      <c r="AA127" s="60">
        <v>2.7027027027027026</v>
      </c>
      <c r="AB127" s="60">
        <v>0</v>
      </c>
      <c r="AC127" s="60">
        <v>12.5</v>
      </c>
      <c r="AD127" s="60">
        <v>2.5</v>
      </c>
      <c r="AE127" s="60">
        <v>4.5454545454545459</v>
      </c>
      <c r="AF127" s="60">
        <v>0</v>
      </c>
      <c r="AG127" s="60">
        <v>8.5106382978723403</v>
      </c>
      <c r="AH127" s="60">
        <v>6.5217391304347823</v>
      </c>
      <c r="AI127" s="60">
        <v>6.8181818181818175</v>
      </c>
      <c r="AJ127" s="61">
        <v>0</v>
      </c>
    </row>
    <row r="141" spans="2:2" x14ac:dyDescent="0.25">
      <c r="B141" s="17"/>
    </row>
  </sheetData>
  <phoneticPr fontId="1" type="noConversion"/>
  <conditionalFormatting sqref="D2:D47 E49:E53 D54:D93">
    <cfRule type="cellIs" dxfId="2" priority="6" operator="greaterThan">
      <formula>3</formula>
    </cfRule>
  </conditionalFormatting>
  <conditionalFormatting sqref="O76:O93">
    <cfRule type="cellIs" dxfId="1" priority="2" operator="greaterThan">
      <formula>3</formula>
    </cfRule>
  </conditionalFormatting>
  <conditionalFormatting sqref="Q76:Q92">
    <cfRule type="cellIs" dxfId="0" priority="3" operator="greaterThan">
      <formula>3</formula>
    </cfRule>
  </conditionalFormatting>
  <pageMargins left="0.75" right="0.75" top="1" bottom="1" header="0.5" footer="0.5"/>
  <headerFooter>
    <oddFooter>&amp;L_x000D_&amp;1#&amp;"Aptos"&amp;12&amp;K000000 INTERNAL</oddFooter>
  </headerFooter>
  <drawing r:id="rId1"/>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36AB-A225-49D2-8B4D-491B6E2950C4}">
  <sheetPr>
    <outlinePr summaryBelow="0"/>
  </sheetPr>
  <dimension ref="A1:F249"/>
  <sheetViews>
    <sheetView workbookViewId="0">
      <selection activeCell="A2" sqref="A2:F3"/>
    </sheetView>
  </sheetViews>
  <sheetFormatPr defaultRowHeight="15" x14ac:dyDescent="0.25"/>
  <cols>
    <col min="1" max="1" width="12.7109375" style="54" customWidth="1"/>
    <col min="2" max="2" width="18.5703125" style="54" customWidth="1"/>
    <col min="3" max="3" width="6.7109375" style="54" bestFit="1" customWidth="1"/>
    <col min="4" max="4" width="47" style="54" bestFit="1" customWidth="1"/>
    <col min="5" max="5" width="12" style="54" bestFit="1" customWidth="1"/>
    <col min="6" max="6" width="15" style="54" bestFit="1" customWidth="1"/>
    <col min="7" max="16384" width="9.140625" style="54"/>
  </cols>
  <sheetData>
    <row r="1" spans="1:6" ht="18.75" customHeight="1" x14ac:dyDescent="0.25">
      <c r="A1" s="55" t="s">
        <v>284</v>
      </c>
      <c r="B1" s="55" t="s">
        <v>285</v>
      </c>
      <c r="C1" s="55" t="s">
        <v>286</v>
      </c>
      <c r="D1" s="55" t="s">
        <v>287</v>
      </c>
      <c r="E1" s="55" t="s">
        <v>288</v>
      </c>
      <c r="F1" s="55" t="s">
        <v>289</v>
      </c>
    </row>
    <row r="2" spans="1:6" x14ac:dyDescent="0.25">
      <c r="A2" s="56" t="s">
        <v>31</v>
      </c>
      <c r="B2" s="57">
        <v>45664</v>
      </c>
      <c r="C2" s="56" t="s">
        <v>290</v>
      </c>
      <c r="D2" s="56" t="s">
        <v>291</v>
      </c>
      <c r="E2" s="56">
        <v>9000</v>
      </c>
      <c r="F2" s="56" t="s">
        <v>292</v>
      </c>
    </row>
    <row r="3" spans="1:6" x14ac:dyDescent="0.25">
      <c r="A3" s="56" t="s">
        <v>73</v>
      </c>
      <c r="B3" s="57">
        <v>45664</v>
      </c>
      <c r="C3" s="56" t="s">
        <v>293</v>
      </c>
      <c r="D3" s="56" t="s">
        <v>294</v>
      </c>
      <c r="E3" s="56">
        <v>5</v>
      </c>
      <c r="F3" s="56" t="s">
        <v>292</v>
      </c>
    </row>
    <row r="4" spans="1:6" x14ac:dyDescent="0.25">
      <c r="A4" s="56" t="s">
        <v>67</v>
      </c>
      <c r="B4" s="57">
        <v>45666</v>
      </c>
      <c r="C4" s="56" t="s">
        <v>290</v>
      </c>
      <c r="D4" s="56" t="s">
        <v>295</v>
      </c>
      <c r="E4" s="56">
        <v>20000</v>
      </c>
      <c r="F4" s="56" t="s">
        <v>292</v>
      </c>
    </row>
    <row r="5" spans="1:6" x14ac:dyDescent="0.25">
      <c r="A5" s="56" t="s">
        <v>73</v>
      </c>
      <c r="B5" s="57">
        <v>45667</v>
      </c>
      <c r="C5" s="56" t="s">
        <v>293</v>
      </c>
      <c r="D5" s="56" t="s">
        <v>296</v>
      </c>
      <c r="E5" s="56">
        <v>5</v>
      </c>
      <c r="F5" s="56" t="s">
        <v>292</v>
      </c>
    </row>
    <row r="6" spans="1:6" x14ac:dyDescent="0.25">
      <c r="A6" s="56" t="s">
        <v>28</v>
      </c>
      <c r="B6" s="57">
        <v>45671</v>
      </c>
      <c r="C6" s="56" t="s">
        <v>293</v>
      </c>
      <c r="D6" s="56" t="s">
        <v>297</v>
      </c>
      <c r="E6" s="56">
        <v>30</v>
      </c>
      <c r="F6" s="56" t="s">
        <v>292</v>
      </c>
    </row>
    <row r="7" spans="1:6" x14ac:dyDescent="0.25">
      <c r="A7" s="56" t="s">
        <v>28</v>
      </c>
      <c r="B7" s="57">
        <v>45673</v>
      </c>
      <c r="C7" s="56" t="s">
        <v>293</v>
      </c>
      <c r="D7" s="56" t="s">
        <v>298</v>
      </c>
      <c r="E7" s="56">
        <v>600</v>
      </c>
      <c r="F7" s="56" t="s">
        <v>299</v>
      </c>
    </row>
    <row r="8" spans="1:6" x14ac:dyDescent="0.25">
      <c r="A8" s="56" t="s">
        <v>17</v>
      </c>
      <c r="B8" s="57">
        <v>45678</v>
      </c>
      <c r="C8" s="56" t="s">
        <v>293</v>
      </c>
      <c r="D8" s="56" t="s">
        <v>300</v>
      </c>
      <c r="E8" s="56">
        <v>200</v>
      </c>
      <c r="F8" s="56" t="s">
        <v>299</v>
      </c>
    </row>
    <row r="9" spans="1:6" x14ac:dyDescent="0.25">
      <c r="A9" s="56" t="s">
        <v>17</v>
      </c>
      <c r="B9" s="57">
        <v>45679</v>
      </c>
      <c r="C9" s="56" t="s">
        <v>293</v>
      </c>
      <c r="D9" s="56" t="s">
        <v>300</v>
      </c>
      <c r="E9" s="56">
        <v>200</v>
      </c>
      <c r="F9" s="56" t="s">
        <v>299</v>
      </c>
    </row>
    <row r="10" spans="1:6" x14ac:dyDescent="0.25">
      <c r="A10" s="56" t="s">
        <v>67</v>
      </c>
      <c r="B10" s="57">
        <v>45679</v>
      </c>
      <c r="C10" s="56" t="s">
        <v>290</v>
      </c>
      <c r="D10" s="56" t="s">
        <v>295</v>
      </c>
      <c r="E10" s="56">
        <v>20000</v>
      </c>
      <c r="F10" s="56" t="s">
        <v>292</v>
      </c>
    </row>
    <row r="11" spans="1:6" x14ac:dyDescent="0.25">
      <c r="A11" s="56" t="s">
        <v>73</v>
      </c>
      <c r="B11" s="57">
        <v>45679</v>
      </c>
      <c r="C11" s="56" t="s">
        <v>293</v>
      </c>
      <c r="D11" s="56" t="s">
        <v>301</v>
      </c>
      <c r="E11" s="56">
        <v>10</v>
      </c>
      <c r="F11" s="56" t="s">
        <v>292</v>
      </c>
    </row>
    <row r="12" spans="1:6" x14ac:dyDescent="0.25">
      <c r="A12" s="56" t="s">
        <v>73</v>
      </c>
      <c r="B12" s="57">
        <v>45680</v>
      </c>
      <c r="C12" s="56" t="s">
        <v>293</v>
      </c>
      <c r="D12" s="56" t="s">
        <v>302</v>
      </c>
      <c r="E12" s="56">
        <v>5</v>
      </c>
      <c r="F12" s="56" t="s">
        <v>292</v>
      </c>
    </row>
    <row r="13" spans="1:6" x14ac:dyDescent="0.25">
      <c r="A13" s="56" t="s">
        <v>28</v>
      </c>
      <c r="B13" s="57">
        <v>45680</v>
      </c>
      <c r="C13" s="56" t="s">
        <v>293</v>
      </c>
      <c r="D13" s="56" t="s">
        <v>303</v>
      </c>
      <c r="E13" s="56">
        <v>500</v>
      </c>
      <c r="F13" s="56" t="s">
        <v>292</v>
      </c>
    </row>
    <row r="14" spans="1:6" x14ac:dyDescent="0.25">
      <c r="A14" s="56" t="s">
        <v>28</v>
      </c>
      <c r="B14" s="57">
        <v>45680</v>
      </c>
      <c r="C14" s="56" t="s">
        <v>293</v>
      </c>
      <c r="D14" s="56" t="s">
        <v>304</v>
      </c>
      <c r="E14" s="56">
        <v>500</v>
      </c>
      <c r="F14" s="56" t="s">
        <v>292</v>
      </c>
    </row>
    <row r="15" spans="1:6" x14ac:dyDescent="0.25">
      <c r="A15" s="56" t="s">
        <v>67</v>
      </c>
      <c r="B15" s="57">
        <v>45684</v>
      </c>
      <c r="C15" s="56" t="s">
        <v>293</v>
      </c>
      <c r="D15" s="56" t="s">
        <v>295</v>
      </c>
      <c r="E15" s="56">
        <v>50000</v>
      </c>
      <c r="F15" s="56" t="s">
        <v>292</v>
      </c>
    </row>
    <row r="16" spans="1:6" x14ac:dyDescent="0.25">
      <c r="A16" s="56" t="s">
        <v>28</v>
      </c>
      <c r="B16" s="57">
        <v>45685</v>
      </c>
      <c r="C16" s="56" t="s">
        <v>293</v>
      </c>
      <c r="D16" s="56" t="s">
        <v>297</v>
      </c>
      <c r="E16" s="56">
        <v>100</v>
      </c>
      <c r="F16" s="56" t="s">
        <v>292</v>
      </c>
    </row>
    <row r="17" spans="1:6" x14ac:dyDescent="0.25">
      <c r="A17" s="56" t="s">
        <v>28</v>
      </c>
      <c r="B17" s="57">
        <v>45685</v>
      </c>
      <c r="C17" s="56" t="s">
        <v>293</v>
      </c>
      <c r="D17" s="56" t="s">
        <v>305</v>
      </c>
      <c r="E17" s="56">
        <v>500</v>
      </c>
      <c r="F17" s="56" t="s">
        <v>292</v>
      </c>
    </row>
    <row r="18" spans="1:6" x14ac:dyDescent="0.25">
      <c r="A18" s="56" t="s">
        <v>28</v>
      </c>
      <c r="B18" s="57">
        <v>45685</v>
      </c>
      <c r="C18" s="56" t="s">
        <v>293</v>
      </c>
      <c r="D18" s="56" t="s">
        <v>303</v>
      </c>
      <c r="E18" s="56">
        <v>1500</v>
      </c>
      <c r="F18" s="56" t="s">
        <v>292</v>
      </c>
    </row>
    <row r="19" spans="1:6" x14ac:dyDescent="0.25">
      <c r="A19" s="56" t="s">
        <v>73</v>
      </c>
      <c r="B19" s="57">
        <v>45685</v>
      </c>
      <c r="C19" s="56" t="s">
        <v>293</v>
      </c>
      <c r="D19" s="56" t="s">
        <v>306</v>
      </c>
      <c r="E19" s="56">
        <v>5</v>
      </c>
      <c r="F19" s="56" t="s">
        <v>292</v>
      </c>
    </row>
    <row r="20" spans="1:6" x14ac:dyDescent="0.25">
      <c r="A20" s="56" t="s">
        <v>73</v>
      </c>
      <c r="B20" s="57">
        <v>45685</v>
      </c>
      <c r="C20" s="56" t="s">
        <v>293</v>
      </c>
      <c r="D20" s="56" t="s">
        <v>297</v>
      </c>
      <c r="E20" s="56">
        <v>10</v>
      </c>
      <c r="F20" s="56" t="s">
        <v>292</v>
      </c>
    </row>
    <row r="21" spans="1:6" x14ac:dyDescent="0.25">
      <c r="A21" s="56" t="s">
        <v>263</v>
      </c>
      <c r="B21" s="57">
        <v>45691</v>
      </c>
      <c r="C21" s="56" t="s">
        <v>290</v>
      </c>
      <c r="D21" s="56" t="s">
        <v>307</v>
      </c>
      <c r="E21" s="56">
        <v>2</v>
      </c>
      <c r="F21" s="56" t="s">
        <v>292</v>
      </c>
    </row>
    <row r="22" spans="1:6" x14ac:dyDescent="0.25">
      <c r="A22" s="56" t="s">
        <v>263</v>
      </c>
      <c r="B22" s="57">
        <v>45691</v>
      </c>
      <c r="C22" s="56" t="s">
        <v>290</v>
      </c>
      <c r="D22" s="56" t="s">
        <v>308</v>
      </c>
      <c r="E22" s="56">
        <v>20</v>
      </c>
      <c r="F22" s="56" t="s">
        <v>292</v>
      </c>
    </row>
    <row r="23" spans="1:6" x14ac:dyDescent="0.25">
      <c r="A23" s="56" t="s">
        <v>263</v>
      </c>
      <c r="B23" s="57">
        <v>45691</v>
      </c>
      <c r="C23" s="56" t="s">
        <v>290</v>
      </c>
      <c r="D23" s="56" t="s">
        <v>309</v>
      </c>
      <c r="E23" s="56">
        <v>10</v>
      </c>
      <c r="F23" s="56" t="s">
        <v>292</v>
      </c>
    </row>
    <row r="24" spans="1:6" x14ac:dyDescent="0.25">
      <c r="A24" s="56" t="s">
        <v>263</v>
      </c>
      <c r="B24" s="57">
        <v>45691</v>
      </c>
      <c r="C24" s="56" t="s">
        <v>290</v>
      </c>
      <c r="D24" s="56" t="s">
        <v>310</v>
      </c>
      <c r="E24" s="56">
        <v>30</v>
      </c>
      <c r="F24" s="56" t="s">
        <v>292</v>
      </c>
    </row>
    <row r="25" spans="1:6" x14ac:dyDescent="0.25">
      <c r="A25" s="56" t="s">
        <v>17</v>
      </c>
      <c r="B25" s="57">
        <v>45692</v>
      </c>
      <c r="C25" s="56" t="s">
        <v>290</v>
      </c>
      <c r="D25" s="56" t="s">
        <v>311</v>
      </c>
      <c r="E25" s="56">
        <v>406</v>
      </c>
      <c r="F25" s="56" t="s">
        <v>292</v>
      </c>
    </row>
    <row r="26" spans="1:6" x14ac:dyDescent="0.25">
      <c r="A26" s="56" t="s">
        <v>17</v>
      </c>
      <c r="B26" s="57">
        <v>45692</v>
      </c>
      <c r="C26" s="56" t="s">
        <v>290</v>
      </c>
      <c r="D26" s="56" t="s">
        <v>312</v>
      </c>
      <c r="E26" s="56">
        <v>30000</v>
      </c>
      <c r="F26" s="56" t="s">
        <v>292</v>
      </c>
    </row>
    <row r="27" spans="1:6" x14ac:dyDescent="0.25">
      <c r="A27" s="56" t="s">
        <v>73</v>
      </c>
      <c r="B27" s="57">
        <v>45693</v>
      </c>
      <c r="C27" s="56" t="s">
        <v>293</v>
      </c>
      <c r="D27" s="56" t="s">
        <v>294</v>
      </c>
      <c r="E27" s="56">
        <v>3</v>
      </c>
      <c r="F27" s="56" t="s">
        <v>292</v>
      </c>
    </row>
    <row r="28" spans="1:6" x14ac:dyDescent="0.25">
      <c r="A28" s="56" t="s">
        <v>73</v>
      </c>
      <c r="B28" s="57">
        <v>45693</v>
      </c>
      <c r="C28" s="56" t="s">
        <v>293</v>
      </c>
      <c r="D28" s="56" t="s">
        <v>306</v>
      </c>
      <c r="E28" s="56">
        <v>3</v>
      </c>
      <c r="F28" s="56" t="s">
        <v>292</v>
      </c>
    </row>
    <row r="29" spans="1:6" x14ac:dyDescent="0.25">
      <c r="A29" s="56" t="s">
        <v>73</v>
      </c>
      <c r="B29" s="57">
        <v>45694</v>
      </c>
      <c r="C29" s="56" t="s">
        <v>293</v>
      </c>
      <c r="D29" s="56" t="s">
        <v>301</v>
      </c>
      <c r="E29" s="56">
        <v>60</v>
      </c>
      <c r="F29" s="56" t="s">
        <v>292</v>
      </c>
    </row>
    <row r="30" spans="1:6" x14ac:dyDescent="0.25">
      <c r="A30" s="56" t="s">
        <v>73</v>
      </c>
      <c r="B30" s="57">
        <v>45694</v>
      </c>
      <c r="C30" s="56" t="s">
        <v>293</v>
      </c>
      <c r="D30" s="56" t="s">
        <v>313</v>
      </c>
      <c r="E30" s="56">
        <v>10</v>
      </c>
      <c r="F30" s="56" t="s">
        <v>292</v>
      </c>
    </row>
    <row r="31" spans="1:6" x14ac:dyDescent="0.25">
      <c r="A31" s="56" t="s">
        <v>17</v>
      </c>
      <c r="B31" s="57">
        <v>45695</v>
      </c>
      <c r="C31" s="56" t="s">
        <v>293</v>
      </c>
      <c r="D31" s="56" t="s">
        <v>314</v>
      </c>
      <c r="E31" s="56">
        <v>10</v>
      </c>
      <c r="F31" s="56" t="s">
        <v>292</v>
      </c>
    </row>
    <row r="32" spans="1:6" x14ac:dyDescent="0.25">
      <c r="A32" s="56" t="s">
        <v>17</v>
      </c>
      <c r="B32" s="57">
        <v>45695</v>
      </c>
      <c r="C32" s="56" t="s">
        <v>290</v>
      </c>
      <c r="D32" s="56" t="s">
        <v>315</v>
      </c>
      <c r="E32" s="56">
        <v>25</v>
      </c>
      <c r="F32" s="56" t="s">
        <v>292</v>
      </c>
    </row>
    <row r="33" spans="1:6" x14ac:dyDescent="0.25">
      <c r="A33" s="56" t="s">
        <v>77</v>
      </c>
      <c r="B33" s="57">
        <v>45698</v>
      </c>
      <c r="C33" s="56" t="s">
        <v>290</v>
      </c>
      <c r="D33" s="56" t="s">
        <v>316</v>
      </c>
      <c r="E33" s="56">
        <v>200</v>
      </c>
      <c r="F33" s="56" t="s">
        <v>292</v>
      </c>
    </row>
    <row r="34" spans="1:6" x14ac:dyDescent="0.25">
      <c r="A34" s="56" t="s">
        <v>77</v>
      </c>
      <c r="B34" s="57">
        <v>45698</v>
      </c>
      <c r="C34" s="56" t="s">
        <v>290</v>
      </c>
      <c r="D34" s="56" t="s">
        <v>317</v>
      </c>
      <c r="E34" s="56">
        <v>500</v>
      </c>
      <c r="F34" s="56" t="s">
        <v>292</v>
      </c>
    </row>
    <row r="35" spans="1:6" x14ac:dyDescent="0.25">
      <c r="A35" s="56" t="s">
        <v>73</v>
      </c>
      <c r="B35" s="57">
        <v>45698</v>
      </c>
      <c r="C35" s="56" t="s">
        <v>293</v>
      </c>
      <c r="D35" s="56" t="s">
        <v>318</v>
      </c>
      <c r="E35" s="56">
        <v>5</v>
      </c>
      <c r="F35" s="56" t="s">
        <v>292</v>
      </c>
    </row>
    <row r="36" spans="1:6" x14ac:dyDescent="0.25">
      <c r="A36" s="56" t="s">
        <v>141</v>
      </c>
      <c r="B36" s="57">
        <v>45698</v>
      </c>
      <c r="C36" s="56" t="s">
        <v>290</v>
      </c>
      <c r="D36" s="56" t="s">
        <v>319</v>
      </c>
      <c r="E36" s="56">
        <v>300</v>
      </c>
      <c r="F36" s="56" t="s">
        <v>292</v>
      </c>
    </row>
    <row r="37" spans="1:6" x14ac:dyDescent="0.25">
      <c r="A37" s="56" t="s">
        <v>124</v>
      </c>
      <c r="B37" s="57">
        <v>45700</v>
      </c>
      <c r="C37" s="56" t="s">
        <v>290</v>
      </c>
      <c r="D37" s="56" t="s">
        <v>320</v>
      </c>
      <c r="E37" s="56">
        <v>6</v>
      </c>
      <c r="F37" s="56" t="s">
        <v>292</v>
      </c>
    </row>
    <row r="38" spans="1:6" x14ac:dyDescent="0.25">
      <c r="A38" s="56" t="s">
        <v>73</v>
      </c>
      <c r="B38" s="57">
        <v>45702</v>
      </c>
      <c r="C38" s="56" t="s">
        <v>293</v>
      </c>
      <c r="D38" s="56" t="s">
        <v>321</v>
      </c>
      <c r="E38" s="56">
        <v>5</v>
      </c>
      <c r="F38" s="56" t="s">
        <v>292</v>
      </c>
    </row>
    <row r="39" spans="1:6" x14ac:dyDescent="0.25">
      <c r="A39" s="56" t="s">
        <v>28</v>
      </c>
      <c r="B39" s="57">
        <v>45706</v>
      </c>
      <c r="C39" s="56" t="s">
        <v>293</v>
      </c>
      <c r="D39" s="56" t="s">
        <v>322</v>
      </c>
      <c r="E39" s="56">
        <v>500</v>
      </c>
      <c r="F39" s="56" t="s">
        <v>292</v>
      </c>
    </row>
    <row r="40" spans="1:6" x14ac:dyDescent="0.25">
      <c r="A40" s="56" t="s">
        <v>28</v>
      </c>
      <c r="B40" s="57">
        <v>45706</v>
      </c>
      <c r="C40" s="56" t="s">
        <v>293</v>
      </c>
      <c r="D40" s="56" t="s">
        <v>323</v>
      </c>
      <c r="E40" s="56">
        <v>1000</v>
      </c>
      <c r="F40" s="56" t="s">
        <v>292</v>
      </c>
    </row>
    <row r="41" spans="1:6" x14ac:dyDescent="0.25">
      <c r="A41" s="56" t="s">
        <v>67</v>
      </c>
      <c r="B41" s="57">
        <v>45707</v>
      </c>
      <c r="C41" s="56" t="s">
        <v>290</v>
      </c>
      <c r="D41" s="56" t="s">
        <v>324</v>
      </c>
      <c r="E41" s="56">
        <v>8000</v>
      </c>
      <c r="F41" s="56" t="s">
        <v>292</v>
      </c>
    </row>
    <row r="42" spans="1:6" x14ac:dyDescent="0.25">
      <c r="A42" s="56" t="s">
        <v>67</v>
      </c>
      <c r="B42" s="57">
        <v>45707</v>
      </c>
      <c r="C42" s="56" t="s">
        <v>290</v>
      </c>
      <c r="D42" s="56" t="s">
        <v>324</v>
      </c>
      <c r="E42" s="56">
        <v>21000</v>
      </c>
      <c r="F42" s="56" t="s">
        <v>292</v>
      </c>
    </row>
    <row r="43" spans="1:6" x14ac:dyDescent="0.25">
      <c r="A43" s="56" t="s">
        <v>67</v>
      </c>
      <c r="B43" s="57">
        <v>45709</v>
      </c>
      <c r="C43" s="56" t="s">
        <v>293</v>
      </c>
      <c r="D43" s="56" t="s">
        <v>325</v>
      </c>
      <c r="E43" s="56">
        <v>20000</v>
      </c>
      <c r="F43" s="56" t="s">
        <v>292</v>
      </c>
    </row>
    <row r="44" spans="1:6" x14ac:dyDescent="0.25">
      <c r="A44" s="56" t="s">
        <v>98</v>
      </c>
      <c r="B44" s="57">
        <v>45715</v>
      </c>
      <c r="C44" s="56" t="s">
        <v>293</v>
      </c>
      <c r="D44" s="56" t="s">
        <v>326</v>
      </c>
      <c r="E44" s="56">
        <v>2000</v>
      </c>
      <c r="F44" s="56" t="s">
        <v>292</v>
      </c>
    </row>
    <row r="45" spans="1:6" x14ac:dyDescent="0.25">
      <c r="A45" s="56" t="s">
        <v>17</v>
      </c>
      <c r="B45" s="57">
        <v>45726</v>
      </c>
      <c r="C45" s="56" t="s">
        <v>293</v>
      </c>
      <c r="D45" s="56" t="s">
        <v>327</v>
      </c>
      <c r="E45" s="56">
        <v>1</v>
      </c>
      <c r="F45" s="56" t="s">
        <v>299</v>
      </c>
    </row>
    <row r="46" spans="1:6" x14ac:dyDescent="0.25">
      <c r="A46" s="56" t="s">
        <v>73</v>
      </c>
      <c r="B46" s="57">
        <v>45726</v>
      </c>
      <c r="C46" s="56" t="s">
        <v>293</v>
      </c>
      <c r="D46" s="56" t="s">
        <v>306</v>
      </c>
      <c r="E46" s="56">
        <v>2</v>
      </c>
      <c r="F46" s="56" t="s">
        <v>292</v>
      </c>
    </row>
    <row r="47" spans="1:6" x14ac:dyDescent="0.25">
      <c r="A47" s="56" t="s">
        <v>73</v>
      </c>
      <c r="B47" s="57">
        <v>45726</v>
      </c>
      <c r="C47" s="56" t="s">
        <v>293</v>
      </c>
      <c r="D47" s="56" t="s">
        <v>297</v>
      </c>
      <c r="E47" s="56">
        <v>5</v>
      </c>
      <c r="F47" s="56" t="s">
        <v>292</v>
      </c>
    </row>
    <row r="48" spans="1:6" x14ac:dyDescent="0.25">
      <c r="A48" s="56" t="s">
        <v>126</v>
      </c>
      <c r="B48" s="57">
        <v>45726</v>
      </c>
      <c r="C48" s="56" t="s">
        <v>293</v>
      </c>
      <c r="D48" s="56" t="s">
        <v>328</v>
      </c>
      <c r="E48" s="56">
        <v>10</v>
      </c>
      <c r="F48" s="56" t="s">
        <v>292</v>
      </c>
    </row>
    <row r="49" spans="1:6" x14ac:dyDescent="0.25">
      <c r="A49" s="56" t="s">
        <v>126</v>
      </c>
      <c r="B49" s="57">
        <v>45727</v>
      </c>
      <c r="C49" s="56" t="s">
        <v>293</v>
      </c>
      <c r="D49" s="56" t="s">
        <v>321</v>
      </c>
      <c r="E49" s="56">
        <v>20</v>
      </c>
      <c r="F49" s="56" t="s">
        <v>292</v>
      </c>
    </row>
    <row r="50" spans="1:6" x14ac:dyDescent="0.25">
      <c r="A50" s="56" t="s">
        <v>73</v>
      </c>
      <c r="B50" s="57">
        <v>45728</v>
      </c>
      <c r="C50" s="56" t="s">
        <v>293</v>
      </c>
      <c r="D50" s="56" t="s">
        <v>321</v>
      </c>
      <c r="E50" s="56">
        <v>4</v>
      </c>
      <c r="F50" s="56" t="s">
        <v>292</v>
      </c>
    </row>
    <row r="51" spans="1:6" x14ac:dyDescent="0.25">
      <c r="A51" s="56" t="s">
        <v>67</v>
      </c>
      <c r="B51" s="57">
        <v>45742</v>
      </c>
      <c r="C51" s="56" t="s">
        <v>290</v>
      </c>
      <c r="D51" s="56" t="s">
        <v>329</v>
      </c>
      <c r="E51" s="56">
        <v>10000</v>
      </c>
      <c r="F51" s="56" t="s">
        <v>292</v>
      </c>
    </row>
    <row r="52" spans="1:6" x14ac:dyDescent="0.25">
      <c r="A52" s="56" t="s">
        <v>67</v>
      </c>
      <c r="B52" s="57">
        <v>45743</v>
      </c>
      <c r="C52" s="56" t="s">
        <v>293</v>
      </c>
      <c r="D52" s="56" t="s">
        <v>330</v>
      </c>
      <c r="E52" s="56">
        <v>10000</v>
      </c>
      <c r="F52" s="56" t="s">
        <v>292</v>
      </c>
    </row>
    <row r="53" spans="1:6" x14ac:dyDescent="0.25">
      <c r="A53" s="56" t="s">
        <v>85</v>
      </c>
      <c r="B53" s="57">
        <v>45744</v>
      </c>
      <c r="C53" s="56" t="s">
        <v>293</v>
      </c>
      <c r="D53" s="56" t="s">
        <v>331</v>
      </c>
      <c r="E53" s="56">
        <v>10</v>
      </c>
      <c r="F53" s="56" t="s">
        <v>299</v>
      </c>
    </row>
    <row r="54" spans="1:6" x14ac:dyDescent="0.25">
      <c r="A54" s="56" t="s">
        <v>126</v>
      </c>
      <c r="B54" s="57">
        <v>45744</v>
      </c>
      <c r="C54" s="56" t="s">
        <v>293</v>
      </c>
      <c r="D54" s="56" t="s">
        <v>321</v>
      </c>
      <c r="E54" s="56">
        <v>20</v>
      </c>
      <c r="F54" s="56" t="s">
        <v>299</v>
      </c>
    </row>
    <row r="55" spans="1:6" x14ac:dyDescent="0.25">
      <c r="A55" s="56" t="s">
        <v>126</v>
      </c>
      <c r="B55" s="57">
        <v>45744</v>
      </c>
      <c r="C55" s="56" t="s">
        <v>293</v>
      </c>
      <c r="D55" s="56" t="s">
        <v>332</v>
      </c>
      <c r="E55" s="56">
        <v>5</v>
      </c>
      <c r="F55" s="56" t="s">
        <v>299</v>
      </c>
    </row>
    <row r="56" spans="1:6" x14ac:dyDescent="0.25">
      <c r="A56" s="56" t="s">
        <v>126</v>
      </c>
      <c r="B56" s="57">
        <v>45744</v>
      </c>
      <c r="C56" s="56" t="s">
        <v>293</v>
      </c>
      <c r="D56" s="56" t="s">
        <v>332</v>
      </c>
      <c r="E56" s="56">
        <v>5</v>
      </c>
      <c r="F56" s="56" t="s">
        <v>299</v>
      </c>
    </row>
    <row r="57" spans="1:6" x14ac:dyDescent="0.25">
      <c r="A57" s="56" t="s">
        <v>126</v>
      </c>
      <c r="B57" s="57">
        <v>45750</v>
      </c>
      <c r="C57" s="56" t="s">
        <v>293</v>
      </c>
      <c r="D57" s="56" t="s">
        <v>333</v>
      </c>
      <c r="E57" s="56">
        <v>10</v>
      </c>
      <c r="F57" s="56" t="s">
        <v>292</v>
      </c>
    </row>
    <row r="58" spans="1:6" x14ac:dyDescent="0.25">
      <c r="A58" s="56" t="s">
        <v>126</v>
      </c>
      <c r="B58" s="57">
        <v>45750</v>
      </c>
      <c r="C58" s="56" t="s">
        <v>293</v>
      </c>
      <c r="D58" s="56" t="s">
        <v>332</v>
      </c>
      <c r="E58" s="56">
        <v>10</v>
      </c>
      <c r="F58" s="56" t="s">
        <v>292</v>
      </c>
    </row>
    <row r="59" spans="1:6" x14ac:dyDescent="0.25">
      <c r="A59" s="56" t="s">
        <v>126</v>
      </c>
      <c r="B59" s="57">
        <v>45750</v>
      </c>
      <c r="C59" s="56" t="s">
        <v>293</v>
      </c>
      <c r="D59" s="56" t="s">
        <v>334</v>
      </c>
      <c r="E59" s="56">
        <v>10</v>
      </c>
      <c r="F59" s="56" t="s">
        <v>292</v>
      </c>
    </row>
    <row r="60" spans="1:6" x14ac:dyDescent="0.25">
      <c r="A60" s="56" t="s">
        <v>98</v>
      </c>
      <c r="B60" s="57">
        <v>45757</v>
      </c>
      <c r="C60" s="56" t="s">
        <v>290</v>
      </c>
      <c r="D60" s="56" t="s">
        <v>335</v>
      </c>
      <c r="E60" s="56">
        <v>1000</v>
      </c>
      <c r="F60" s="56" t="s">
        <v>292</v>
      </c>
    </row>
    <row r="61" spans="1:6" x14ac:dyDescent="0.25">
      <c r="A61" s="56" t="s">
        <v>336</v>
      </c>
      <c r="B61" s="57">
        <v>45761</v>
      </c>
      <c r="C61" s="56" t="s">
        <v>293</v>
      </c>
      <c r="D61" s="56" t="s">
        <v>337</v>
      </c>
      <c r="E61" s="56">
        <v>1</v>
      </c>
      <c r="F61" s="56" t="s">
        <v>292</v>
      </c>
    </row>
    <row r="62" spans="1:6" x14ac:dyDescent="0.25">
      <c r="A62" s="56" t="s">
        <v>336</v>
      </c>
      <c r="B62" s="57">
        <v>45761</v>
      </c>
      <c r="C62" s="56" t="s">
        <v>293</v>
      </c>
      <c r="D62" s="56" t="s">
        <v>296</v>
      </c>
      <c r="E62" s="56">
        <v>1</v>
      </c>
      <c r="F62" s="56" t="s">
        <v>299</v>
      </c>
    </row>
    <row r="63" spans="1:6" x14ac:dyDescent="0.25">
      <c r="A63" s="56" t="s">
        <v>336</v>
      </c>
      <c r="B63" s="57">
        <v>45761</v>
      </c>
      <c r="C63" s="56" t="s">
        <v>293</v>
      </c>
      <c r="D63" s="56" t="s">
        <v>338</v>
      </c>
      <c r="E63" s="56">
        <v>1</v>
      </c>
      <c r="F63" s="56" t="s">
        <v>299</v>
      </c>
    </row>
    <row r="64" spans="1:6" x14ac:dyDescent="0.25">
      <c r="A64" s="56" t="s">
        <v>85</v>
      </c>
      <c r="B64" s="57">
        <v>45762</v>
      </c>
      <c r="C64" s="56" t="s">
        <v>293</v>
      </c>
      <c r="D64" s="56" t="s">
        <v>339</v>
      </c>
      <c r="E64" s="56">
        <v>10</v>
      </c>
      <c r="F64" s="56" t="s">
        <v>292</v>
      </c>
    </row>
    <row r="65" spans="1:6" x14ac:dyDescent="0.25">
      <c r="A65" s="56" t="s">
        <v>73</v>
      </c>
      <c r="B65" s="57">
        <v>45764</v>
      </c>
      <c r="C65" s="56" t="s">
        <v>293</v>
      </c>
      <c r="D65" s="56" t="s">
        <v>340</v>
      </c>
      <c r="E65" s="56">
        <v>40</v>
      </c>
      <c r="F65" s="56" t="s">
        <v>292</v>
      </c>
    </row>
    <row r="66" spans="1:6" x14ac:dyDescent="0.25">
      <c r="A66" s="56" t="s">
        <v>73</v>
      </c>
      <c r="B66" s="57">
        <v>45765</v>
      </c>
      <c r="C66" s="56" t="s">
        <v>293</v>
      </c>
      <c r="D66" s="56" t="s">
        <v>318</v>
      </c>
      <c r="E66" s="56">
        <v>3</v>
      </c>
      <c r="F66" s="56" t="s">
        <v>299</v>
      </c>
    </row>
    <row r="67" spans="1:6" x14ac:dyDescent="0.25">
      <c r="A67" s="56" t="s">
        <v>73</v>
      </c>
      <c r="B67" s="57">
        <v>45765</v>
      </c>
      <c r="C67" s="56" t="s">
        <v>293</v>
      </c>
      <c r="D67" s="56" t="s">
        <v>321</v>
      </c>
      <c r="E67" s="56">
        <v>7</v>
      </c>
      <c r="F67" s="56" t="s">
        <v>292</v>
      </c>
    </row>
    <row r="68" spans="1:6" x14ac:dyDescent="0.25">
      <c r="A68" s="56" t="s">
        <v>73</v>
      </c>
      <c r="B68" s="57">
        <v>45765</v>
      </c>
      <c r="C68" s="56" t="s">
        <v>293</v>
      </c>
      <c r="D68" s="56" t="s">
        <v>306</v>
      </c>
      <c r="E68" s="56">
        <v>2</v>
      </c>
      <c r="F68" s="56" t="s">
        <v>292</v>
      </c>
    </row>
    <row r="69" spans="1:6" x14ac:dyDescent="0.25">
      <c r="A69" s="56" t="s">
        <v>73</v>
      </c>
      <c r="B69" s="57">
        <v>45765</v>
      </c>
      <c r="C69" s="56" t="s">
        <v>293</v>
      </c>
      <c r="D69" s="56" t="s">
        <v>294</v>
      </c>
      <c r="E69" s="56">
        <v>2</v>
      </c>
      <c r="F69" s="56" t="s">
        <v>292</v>
      </c>
    </row>
    <row r="70" spans="1:6" x14ac:dyDescent="0.25">
      <c r="A70" s="56" t="s">
        <v>73</v>
      </c>
      <c r="B70" s="57">
        <v>45765</v>
      </c>
      <c r="C70" s="56" t="s">
        <v>293</v>
      </c>
      <c r="D70" s="56" t="s">
        <v>296</v>
      </c>
      <c r="E70" s="56">
        <v>5</v>
      </c>
      <c r="F70" s="56" t="s">
        <v>292</v>
      </c>
    </row>
    <row r="71" spans="1:6" x14ac:dyDescent="0.25">
      <c r="A71" s="56" t="s">
        <v>73</v>
      </c>
      <c r="B71" s="57">
        <v>45765</v>
      </c>
      <c r="C71" s="56" t="s">
        <v>293</v>
      </c>
      <c r="D71" s="56" t="s">
        <v>341</v>
      </c>
      <c r="E71" s="56">
        <v>50</v>
      </c>
      <c r="F71" s="56" t="s">
        <v>292</v>
      </c>
    </row>
    <row r="72" spans="1:6" x14ac:dyDescent="0.25">
      <c r="A72" s="56" t="s">
        <v>73</v>
      </c>
      <c r="B72" s="57">
        <v>45765</v>
      </c>
      <c r="C72" s="56" t="s">
        <v>293</v>
      </c>
      <c r="D72" s="56" t="s">
        <v>297</v>
      </c>
      <c r="E72" s="56">
        <v>5</v>
      </c>
      <c r="F72" s="56" t="s">
        <v>292</v>
      </c>
    </row>
    <row r="73" spans="1:6" x14ac:dyDescent="0.25">
      <c r="A73" s="56" t="s">
        <v>73</v>
      </c>
      <c r="B73" s="57">
        <v>45765</v>
      </c>
      <c r="C73" s="56" t="s">
        <v>293</v>
      </c>
      <c r="D73" s="56" t="s">
        <v>342</v>
      </c>
      <c r="E73" s="56">
        <v>8</v>
      </c>
      <c r="F73" s="56" t="s">
        <v>299</v>
      </c>
    </row>
    <row r="74" spans="1:6" x14ac:dyDescent="0.25">
      <c r="A74" s="56" t="s">
        <v>336</v>
      </c>
      <c r="B74" s="57">
        <v>45768</v>
      </c>
      <c r="C74" s="56" t="s">
        <v>293</v>
      </c>
      <c r="D74" s="56" t="s">
        <v>343</v>
      </c>
      <c r="E74" s="56">
        <v>2</v>
      </c>
      <c r="F74" s="56" t="s">
        <v>292</v>
      </c>
    </row>
    <row r="75" spans="1:6" x14ac:dyDescent="0.25">
      <c r="A75" s="56" t="s">
        <v>134</v>
      </c>
      <c r="B75" s="57">
        <v>45775</v>
      </c>
      <c r="C75" s="56" t="s">
        <v>293</v>
      </c>
      <c r="D75" s="56" t="s">
        <v>344</v>
      </c>
      <c r="E75" s="56">
        <v>100</v>
      </c>
      <c r="F75" s="56" t="s">
        <v>299</v>
      </c>
    </row>
    <row r="76" spans="1:6" x14ac:dyDescent="0.25">
      <c r="A76" s="56" t="s">
        <v>73</v>
      </c>
      <c r="B76" s="57">
        <v>45776</v>
      </c>
      <c r="C76" s="56" t="s">
        <v>293</v>
      </c>
      <c r="D76" s="56" t="s">
        <v>345</v>
      </c>
      <c r="E76" s="56">
        <v>5</v>
      </c>
      <c r="F76" s="56" t="s">
        <v>292</v>
      </c>
    </row>
    <row r="77" spans="1:6" x14ac:dyDescent="0.25">
      <c r="A77" s="56" t="s">
        <v>73</v>
      </c>
      <c r="B77" s="57">
        <v>45776</v>
      </c>
      <c r="C77" s="56" t="s">
        <v>293</v>
      </c>
      <c r="D77" s="56" t="s">
        <v>346</v>
      </c>
      <c r="E77" s="56">
        <v>1</v>
      </c>
      <c r="F77" s="56" t="s">
        <v>292</v>
      </c>
    </row>
    <row r="78" spans="1:6" x14ac:dyDescent="0.25">
      <c r="A78" s="56" t="s">
        <v>336</v>
      </c>
      <c r="B78" s="57">
        <v>45777</v>
      </c>
      <c r="C78" s="56" t="s">
        <v>293</v>
      </c>
      <c r="D78" s="56" t="s">
        <v>347</v>
      </c>
      <c r="E78" s="56">
        <v>30</v>
      </c>
      <c r="F78" s="56" t="s">
        <v>299</v>
      </c>
    </row>
    <row r="79" spans="1:6" x14ac:dyDescent="0.25">
      <c r="A79" s="56" t="s">
        <v>73</v>
      </c>
      <c r="B79" s="57">
        <v>45779</v>
      </c>
      <c r="C79" s="56" t="s">
        <v>290</v>
      </c>
      <c r="D79" s="56" t="s">
        <v>348</v>
      </c>
      <c r="E79" s="56">
        <v>60</v>
      </c>
      <c r="F79" s="56" t="s">
        <v>292</v>
      </c>
    </row>
    <row r="80" spans="1:6" x14ac:dyDescent="0.25">
      <c r="A80" s="56" t="s">
        <v>73</v>
      </c>
      <c r="B80" s="57">
        <v>45779</v>
      </c>
      <c r="C80" s="56" t="s">
        <v>293</v>
      </c>
      <c r="D80" s="56" t="s">
        <v>318</v>
      </c>
      <c r="E80" s="56">
        <v>5</v>
      </c>
      <c r="F80" s="56" t="s">
        <v>292</v>
      </c>
    </row>
    <row r="81" spans="1:6" x14ac:dyDescent="0.25">
      <c r="A81" s="56" t="s">
        <v>73</v>
      </c>
      <c r="B81" s="57">
        <v>45785</v>
      </c>
      <c r="C81" s="56" t="s">
        <v>293</v>
      </c>
      <c r="D81" s="56" t="s">
        <v>306</v>
      </c>
      <c r="E81" s="56">
        <v>3</v>
      </c>
      <c r="F81" s="56" t="s">
        <v>292</v>
      </c>
    </row>
    <row r="82" spans="1:6" x14ac:dyDescent="0.25">
      <c r="A82" s="56" t="s">
        <v>336</v>
      </c>
      <c r="B82" s="57">
        <v>45786</v>
      </c>
      <c r="C82" s="56" t="s">
        <v>293</v>
      </c>
      <c r="D82" s="56" t="s">
        <v>349</v>
      </c>
      <c r="E82" s="56">
        <v>20</v>
      </c>
      <c r="F82" s="56" t="s">
        <v>292</v>
      </c>
    </row>
    <row r="83" spans="1:6" x14ac:dyDescent="0.25">
      <c r="A83" s="56" t="s">
        <v>131</v>
      </c>
      <c r="B83" s="57">
        <v>45789</v>
      </c>
      <c r="C83" s="56" t="s">
        <v>290</v>
      </c>
      <c r="D83" s="56" t="s">
        <v>350</v>
      </c>
      <c r="E83" s="56">
        <v>1500</v>
      </c>
      <c r="F83" s="56" t="s">
        <v>299</v>
      </c>
    </row>
    <row r="84" spans="1:6" x14ac:dyDescent="0.25">
      <c r="A84" s="56" t="s">
        <v>131</v>
      </c>
      <c r="B84" s="57">
        <v>45789</v>
      </c>
      <c r="C84" s="56" t="s">
        <v>290</v>
      </c>
      <c r="D84" s="56" t="s">
        <v>351</v>
      </c>
      <c r="E84" s="56">
        <v>80</v>
      </c>
      <c r="F84" s="56" t="s">
        <v>292</v>
      </c>
    </row>
    <row r="85" spans="1:6" x14ac:dyDescent="0.25">
      <c r="A85" s="56" t="s">
        <v>131</v>
      </c>
      <c r="B85" s="57">
        <v>45789</v>
      </c>
      <c r="C85" s="56" t="s">
        <v>290</v>
      </c>
      <c r="D85" s="56" t="s">
        <v>352</v>
      </c>
      <c r="E85" s="56">
        <v>106</v>
      </c>
      <c r="F85" s="56" t="s">
        <v>292</v>
      </c>
    </row>
    <row r="86" spans="1:6" x14ac:dyDescent="0.25">
      <c r="A86" s="56" t="s">
        <v>131</v>
      </c>
      <c r="B86" s="57">
        <v>45789</v>
      </c>
      <c r="C86" s="56" t="s">
        <v>290</v>
      </c>
      <c r="D86" s="56" t="s">
        <v>353</v>
      </c>
      <c r="E86" s="56">
        <v>15</v>
      </c>
      <c r="F86" s="56" t="s">
        <v>299</v>
      </c>
    </row>
    <row r="87" spans="1:6" x14ac:dyDescent="0.25">
      <c r="A87" s="56" t="s">
        <v>131</v>
      </c>
      <c r="B87" s="57">
        <v>45789</v>
      </c>
      <c r="C87" s="56" t="s">
        <v>290</v>
      </c>
      <c r="D87" s="56" t="s">
        <v>354</v>
      </c>
      <c r="E87" s="56">
        <v>12</v>
      </c>
      <c r="F87" s="56" t="s">
        <v>299</v>
      </c>
    </row>
    <row r="88" spans="1:6" x14ac:dyDescent="0.25">
      <c r="A88" s="56" t="s">
        <v>126</v>
      </c>
      <c r="B88" s="57">
        <v>45796</v>
      </c>
      <c r="C88" s="56" t="s">
        <v>290</v>
      </c>
      <c r="D88" s="56" t="s">
        <v>328</v>
      </c>
      <c r="E88" s="56">
        <v>10</v>
      </c>
      <c r="F88" s="56" t="s">
        <v>355</v>
      </c>
    </row>
    <row r="89" spans="1:6" x14ac:dyDescent="0.25">
      <c r="A89" s="56" t="s">
        <v>336</v>
      </c>
      <c r="B89" s="57">
        <v>45796</v>
      </c>
      <c r="C89" s="56" t="s">
        <v>290</v>
      </c>
      <c r="D89" s="56" t="s">
        <v>307</v>
      </c>
      <c r="E89" s="56">
        <v>1</v>
      </c>
      <c r="F89" s="56" t="s">
        <v>292</v>
      </c>
    </row>
    <row r="90" spans="1:6" x14ac:dyDescent="0.25">
      <c r="A90" s="56" t="s">
        <v>73</v>
      </c>
      <c r="B90" s="57">
        <v>45797</v>
      </c>
      <c r="C90" s="56" t="s">
        <v>293</v>
      </c>
      <c r="D90" s="56" t="s">
        <v>321</v>
      </c>
      <c r="E90" s="56">
        <v>10</v>
      </c>
      <c r="F90" s="56" t="s">
        <v>292</v>
      </c>
    </row>
    <row r="91" spans="1:6" x14ac:dyDescent="0.25">
      <c r="A91" s="56" t="s">
        <v>126</v>
      </c>
      <c r="B91" s="57">
        <v>45798</v>
      </c>
      <c r="C91" s="56" t="s">
        <v>290</v>
      </c>
      <c r="D91" s="56" t="s">
        <v>328</v>
      </c>
      <c r="E91" s="56">
        <v>10</v>
      </c>
      <c r="F91" s="56" t="s">
        <v>292</v>
      </c>
    </row>
    <row r="92" spans="1:6" x14ac:dyDescent="0.25">
      <c r="A92" s="56" t="s">
        <v>58</v>
      </c>
      <c r="B92" s="57">
        <v>45805</v>
      </c>
      <c r="C92" s="56" t="s">
        <v>290</v>
      </c>
      <c r="D92" s="56" t="s">
        <v>356</v>
      </c>
      <c r="E92" s="56">
        <v>500</v>
      </c>
      <c r="F92" s="56" t="s">
        <v>292</v>
      </c>
    </row>
    <row r="93" spans="1:6" x14ac:dyDescent="0.25">
      <c r="A93" s="56" t="s">
        <v>25</v>
      </c>
      <c r="B93" s="57">
        <v>45811</v>
      </c>
      <c r="C93" s="56" t="s">
        <v>290</v>
      </c>
      <c r="D93" s="56" t="s">
        <v>357</v>
      </c>
      <c r="E93" s="56">
        <v>1.5999999595806E-3</v>
      </c>
      <c r="F93" s="56" t="s">
        <v>292</v>
      </c>
    </row>
    <row r="94" spans="1:6" x14ac:dyDescent="0.25">
      <c r="A94" s="56" t="s">
        <v>98</v>
      </c>
      <c r="B94" s="57">
        <v>45812</v>
      </c>
      <c r="C94" s="56" t="s">
        <v>293</v>
      </c>
      <c r="D94" s="56" t="s">
        <v>358</v>
      </c>
      <c r="E94" s="56">
        <v>3000</v>
      </c>
      <c r="F94" s="56" t="s">
        <v>292</v>
      </c>
    </row>
    <row r="95" spans="1:6" x14ac:dyDescent="0.25">
      <c r="A95" s="56" t="s">
        <v>98</v>
      </c>
      <c r="B95" s="57">
        <v>45812</v>
      </c>
      <c r="C95" s="56" t="s">
        <v>290</v>
      </c>
      <c r="D95" s="56" t="s">
        <v>359</v>
      </c>
      <c r="E95" s="56">
        <v>2000</v>
      </c>
      <c r="F95" s="56" t="s">
        <v>292</v>
      </c>
    </row>
    <row r="96" spans="1:6" x14ac:dyDescent="0.25">
      <c r="A96" s="56" t="s">
        <v>336</v>
      </c>
      <c r="B96" s="57">
        <v>45818</v>
      </c>
      <c r="C96" s="56" t="s">
        <v>293</v>
      </c>
      <c r="D96" s="56" t="s">
        <v>349</v>
      </c>
      <c r="E96" s="56">
        <v>20</v>
      </c>
      <c r="F96" s="56" t="s">
        <v>292</v>
      </c>
    </row>
    <row r="97" spans="1:6" x14ac:dyDescent="0.25">
      <c r="A97" s="56" t="s">
        <v>126</v>
      </c>
      <c r="B97" s="57">
        <v>45820</v>
      </c>
      <c r="C97" s="56" t="s">
        <v>293</v>
      </c>
      <c r="D97" s="56" t="s">
        <v>360</v>
      </c>
      <c r="E97" s="56">
        <v>10</v>
      </c>
      <c r="F97" s="56" t="s">
        <v>292</v>
      </c>
    </row>
    <row r="98" spans="1:6" x14ac:dyDescent="0.25">
      <c r="A98" s="56" t="s">
        <v>126</v>
      </c>
      <c r="B98" s="57">
        <v>45820</v>
      </c>
      <c r="C98" s="56" t="s">
        <v>293</v>
      </c>
      <c r="D98" s="56" t="s">
        <v>334</v>
      </c>
      <c r="E98" s="56">
        <v>10</v>
      </c>
      <c r="F98" s="56" t="s">
        <v>292</v>
      </c>
    </row>
    <row r="99" spans="1:6" x14ac:dyDescent="0.25">
      <c r="A99" s="56" t="s">
        <v>58</v>
      </c>
      <c r="B99" s="57">
        <v>45824</v>
      </c>
      <c r="C99" s="56" t="s">
        <v>293</v>
      </c>
      <c r="D99" s="56" t="s">
        <v>361</v>
      </c>
      <c r="E99" s="56">
        <v>230</v>
      </c>
      <c r="F99" s="56" t="s">
        <v>292</v>
      </c>
    </row>
    <row r="100" spans="1:6" x14ac:dyDescent="0.25">
      <c r="A100" s="56" t="s">
        <v>171</v>
      </c>
      <c r="B100" s="57">
        <v>45831</v>
      </c>
      <c r="C100" s="56" t="s">
        <v>290</v>
      </c>
      <c r="D100" s="56" t="s">
        <v>362</v>
      </c>
      <c r="E100" s="56">
        <v>1500</v>
      </c>
      <c r="F100" s="56" t="s">
        <v>292</v>
      </c>
    </row>
    <row r="101" spans="1:6" x14ac:dyDescent="0.25">
      <c r="A101" s="56" t="s">
        <v>113</v>
      </c>
      <c r="B101" s="57">
        <v>45832</v>
      </c>
      <c r="C101" s="56" t="s">
        <v>290</v>
      </c>
      <c r="D101" s="56" t="s">
        <v>363</v>
      </c>
      <c r="E101" s="56">
        <v>110</v>
      </c>
      <c r="F101" s="56" t="s">
        <v>292</v>
      </c>
    </row>
    <row r="102" spans="1:6" x14ac:dyDescent="0.25">
      <c r="A102" s="56" t="s">
        <v>126</v>
      </c>
      <c r="B102" s="57">
        <v>45835</v>
      </c>
      <c r="C102" s="56" t="s">
        <v>293</v>
      </c>
      <c r="D102" s="56" t="s">
        <v>334</v>
      </c>
      <c r="E102" s="56">
        <v>10</v>
      </c>
      <c r="F102" s="56" t="s">
        <v>292</v>
      </c>
    </row>
    <row r="103" spans="1:6" x14ac:dyDescent="0.25">
      <c r="A103" s="56" t="s">
        <v>336</v>
      </c>
      <c r="B103" s="57">
        <v>45847</v>
      </c>
      <c r="C103" s="56" t="s">
        <v>290</v>
      </c>
      <c r="D103" s="56" t="s">
        <v>364</v>
      </c>
      <c r="E103" s="56">
        <v>1000</v>
      </c>
      <c r="F103" s="56" t="s">
        <v>292</v>
      </c>
    </row>
    <row r="104" spans="1:6" x14ac:dyDescent="0.25">
      <c r="A104" s="56" t="s">
        <v>336</v>
      </c>
      <c r="B104" s="57">
        <v>45848</v>
      </c>
      <c r="C104" s="56" t="s">
        <v>293</v>
      </c>
      <c r="D104" s="56" t="s">
        <v>349</v>
      </c>
      <c r="E104" s="56">
        <v>20</v>
      </c>
      <c r="F104" s="56" t="s">
        <v>292</v>
      </c>
    </row>
    <row r="105" spans="1:6" x14ac:dyDescent="0.25">
      <c r="A105" s="56" t="s">
        <v>31</v>
      </c>
      <c r="B105" s="57">
        <v>45849</v>
      </c>
      <c r="C105" s="56" t="s">
        <v>290</v>
      </c>
      <c r="D105" s="56" t="s">
        <v>365</v>
      </c>
      <c r="E105" s="56">
        <v>400</v>
      </c>
      <c r="F105" s="56" t="s">
        <v>292</v>
      </c>
    </row>
    <row r="106" spans="1:6" x14ac:dyDescent="0.25">
      <c r="A106" s="56" t="s">
        <v>171</v>
      </c>
      <c r="B106" s="57">
        <v>45853</v>
      </c>
      <c r="C106" s="56" t="s">
        <v>293</v>
      </c>
      <c r="D106" s="56" t="s">
        <v>366</v>
      </c>
      <c r="E106" s="56">
        <v>800</v>
      </c>
      <c r="F106" s="56" t="s">
        <v>292</v>
      </c>
    </row>
    <row r="107" spans="1:6" x14ac:dyDescent="0.25">
      <c r="A107" s="56" t="s">
        <v>85</v>
      </c>
      <c r="B107" s="57">
        <v>45855</v>
      </c>
      <c r="C107" s="56" t="s">
        <v>293</v>
      </c>
      <c r="D107" s="56" t="s">
        <v>367</v>
      </c>
      <c r="E107" s="56">
        <v>1</v>
      </c>
      <c r="F107" s="56" t="s">
        <v>299</v>
      </c>
    </row>
    <row r="108" spans="1:6" x14ac:dyDescent="0.25">
      <c r="A108" s="56" t="s">
        <v>67</v>
      </c>
      <c r="B108" s="57">
        <v>45855</v>
      </c>
      <c r="C108" s="56" t="s">
        <v>293</v>
      </c>
      <c r="D108" s="56" t="s">
        <v>368</v>
      </c>
      <c r="E108" s="56">
        <v>7500</v>
      </c>
      <c r="F108" s="56" t="s">
        <v>292</v>
      </c>
    </row>
    <row r="109" spans="1:6" x14ac:dyDescent="0.25">
      <c r="A109" s="56" t="s">
        <v>67</v>
      </c>
      <c r="B109" s="57">
        <v>45855</v>
      </c>
      <c r="C109" s="56" t="s">
        <v>290</v>
      </c>
      <c r="D109" s="56" t="s">
        <v>369</v>
      </c>
      <c r="E109" s="56">
        <v>7200</v>
      </c>
      <c r="F109" s="56" t="s">
        <v>292</v>
      </c>
    </row>
    <row r="110" spans="1:6" x14ac:dyDescent="0.25">
      <c r="A110" s="56" t="s">
        <v>67</v>
      </c>
      <c r="B110" s="57">
        <v>45855</v>
      </c>
      <c r="C110" s="56" t="s">
        <v>293</v>
      </c>
      <c r="D110" s="56" t="s">
        <v>370</v>
      </c>
      <c r="E110" s="56">
        <v>150000</v>
      </c>
      <c r="F110" s="56" t="s">
        <v>292</v>
      </c>
    </row>
    <row r="111" spans="1:6" x14ac:dyDescent="0.25">
      <c r="A111" s="56" t="s">
        <v>67</v>
      </c>
      <c r="B111" s="57">
        <v>45855</v>
      </c>
      <c r="C111" s="56" t="s">
        <v>293</v>
      </c>
      <c r="D111" s="56" t="s">
        <v>371</v>
      </c>
      <c r="E111" s="56">
        <v>10000</v>
      </c>
      <c r="F111" s="56" t="s">
        <v>292</v>
      </c>
    </row>
    <row r="112" spans="1:6" x14ac:dyDescent="0.25">
      <c r="A112" s="56" t="s">
        <v>67</v>
      </c>
      <c r="B112" s="57">
        <v>45855</v>
      </c>
      <c r="C112" s="56" t="s">
        <v>290</v>
      </c>
      <c r="D112" s="56" t="s">
        <v>372</v>
      </c>
      <c r="E112" s="56">
        <v>800</v>
      </c>
      <c r="F112" s="56" t="s">
        <v>292</v>
      </c>
    </row>
    <row r="113" spans="1:6" x14ac:dyDescent="0.25">
      <c r="A113" s="56" t="s">
        <v>67</v>
      </c>
      <c r="B113" s="57">
        <v>45855</v>
      </c>
      <c r="C113" s="56" t="s">
        <v>290</v>
      </c>
      <c r="D113" s="56" t="s">
        <v>373</v>
      </c>
      <c r="E113" s="56">
        <v>400</v>
      </c>
      <c r="F113" s="56" t="s">
        <v>292</v>
      </c>
    </row>
    <row r="114" spans="1:6" x14ac:dyDescent="0.25">
      <c r="A114" s="56" t="s">
        <v>67</v>
      </c>
      <c r="B114" s="57">
        <v>45855</v>
      </c>
      <c r="C114" s="56" t="s">
        <v>290</v>
      </c>
      <c r="D114" s="56" t="s">
        <v>295</v>
      </c>
      <c r="E114" s="56">
        <v>20000</v>
      </c>
      <c r="F114" s="56" t="s">
        <v>292</v>
      </c>
    </row>
    <row r="115" spans="1:6" x14ac:dyDescent="0.25">
      <c r="A115" s="56" t="s">
        <v>67</v>
      </c>
      <c r="B115" s="57">
        <v>45855</v>
      </c>
      <c r="C115" s="56" t="s">
        <v>290</v>
      </c>
      <c r="D115" s="56" t="s">
        <v>374</v>
      </c>
      <c r="E115" s="56">
        <v>28000</v>
      </c>
      <c r="F115" s="56" t="s">
        <v>292</v>
      </c>
    </row>
    <row r="116" spans="1:6" x14ac:dyDescent="0.25">
      <c r="A116" s="56" t="s">
        <v>171</v>
      </c>
      <c r="B116" s="57">
        <v>45860</v>
      </c>
      <c r="C116" s="56" t="s">
        <v>293</v>
      </c>
      <c r="D116" s="56" t="s">
        <v>375</v>
      </c>
      <c r="E116" s="56">
        <v>1500</v>
      </c>
      <c r="F116" s="56" t="s">
        <v>292</v>
      </c>
    </row>
    <row r="117" spans="1:6" x14ac:dyDescent="0.25">
      <c r="A117" s="56" t="s">
        <v>85</v>
      </c>
      <c r="B117" s="57">
        <v>45862</v>
      </c>
      <c r="C117" s="56" t="s">
        <v>293</v>
      </c>
      <c r="D117" s="56" t="s">
        <v>367</v>
      </c>
      <c r="E117" s="56">
        <v>1</v>
      </c>
      <c r="F117" s="56" t="s">
        <v>292</v>
      </c>
    </row>
    <row r="118" spans="1:6" x14ac:dyDescent="0.25">
      <c r="A118" s="56" t="s">
        <v>376</v>
      </c>
      <c r="B118" s="57">
        <v>45862</v>
      </c>
      <c r="C118" s="56" t="s">
        <v>293</v>
      </c>
      <c r="D118" s="56" t="s">
        <v>377</v>
      </c>
      <c r="E118" s="56">
        <v>3</v>
      </c>
      <c r="F118" s="56" t="s">
        <v>292</v>
      </c>
    </row>
    <row r="119" spans="1:6" x14ac:dyDescent="0.25">
      <c r="A119" s="56" t="s">
        <v>376</v>
      </c>
      <c r="B119" s="57">
        <v>45862</v>
      </c>
      <c r="C119" s="56" t="s">
        <v>293</v>
      </c>
      <c r="D119" s="56" t="s">
        <v>378</v>
      </c>
      <c r="E119" s="56">
        <v>4</v>
      </c>
      <c r="F119" s="56" t="s">
        <v>292</v>
      </c>
    </row>
    <row r="120" spans="1:6" x14ac:dyDescent="0.25">
      <c r="A120" s="56" t="s">
        <v>113</v>
      </c>
      <c r="B120" s="57">
        <v>45866</v>
      </c>
      <c r="C120" s="56" t="s">
        <v>290</v>
      </c>
      <c r="D120" s="56" t="s">
        <v>379</v>
      </c>
      <c r="E120" s="56">
        <v>774</v>
      </c>
      <c r="F120" s="56" t="s">
        <v>292</v>
      </c>
    </row>
    <row r="121" spans="1:6" x14ac:dyDescent="0.25">
      <c r="A121" s="56" t="s">
        <v>171</v>
      </c>
      <c r="B121" s="57">
        <v>45868</v>
      </c>
      <c r="C121" s="56" t="s">
        <v>293</v>
      </c>
      <c r="D121" s="56" t="s">
        <v>380</v>
      </c>
      <c r="E121" s="56">
        <v>100000</v>
      </c>
      <c r="F121" s="56" t="s">
        <v>292</v>
      </c>
    </row>
    <row r="122" spans="1:6" x14ac:dyDescent="0.25">
      <c r="A122" s="56" t="s">
        <v>67</v>
      </c>
      <c r="B122" s="57">
        <v>45868</v>
      </c>
      <c r="C122" s="56" t="s">
        <v>293</v>
      </c>
      <c r="D122" s="56" t="s">
        <v>370</v>
      </c>
      <c r="E122" s="56">
        <v>50000</v>
      </c>
      <c r="F122" s="56" t="s">
        <v>292</v>
      </c>
    </row>
    <row r="123" spans="1:6" x14ac:dyDescent="0.25">
      <c r="A123" s="56" t="s">
        <v>126</v>
      </c>
      <c r="B123" s="57">
        <v>45868</v>
      </c>
      <c r="C123" s="56" t="s">
        <v>293</v>
      </c>
      <c r="D123" s="56" t="s">
        <v>321</v>
      </c>
      <c r="E123" s="56">
        <v>50</v>
      </c>
      <c r="F123" s="56" t="s">
        <v>292</v>
      </c>
    </row>
    <row r="124" spans="1:6" x14ac:dyDescent="0.25">
      <c r="A124" s="56" t="s">
        <v>124</v>
      </c>
      <c r="B124" s="57">
        <v>45868</v>
      </c>
      <c r="C124" s="56" t="s">
        <v>293</v>
      </c>
      <c r="D124" s="56" t="s">
        <v>381</v>
      </c>
      <c r="E124" s="56">
        <v>5</v>
      </c>
      <c r="F124" s="56" t="s">
        <v>299</v>
      </c>
    </row>
    <row r="125" spans="1:6" x14ac:dyDescent="0.25">
      <c r="A125" s="56" t="s">
        <v>171</v>
      </c>
      <c r="B125" s="57">
        <v>45869</v>
      </c>
      <c r="C125" s="56" t="s">
        <v>290</v>
      </c>
      <c r="D125" s="56" t="s">
        <v>382</v>
      </c>
      <c r="E125" s="56">
        <v>1500</v>
      </c>
      <c r="F125" s="56" t="s">
        <v>292</v>
      </c>
    </row>
    <row r="126" spans="1:6" x14ac:dyDescent="0.25">
      <c r="A126" s="56" t="s">
        <v>126</v>
      </c>
      <c r="B126" s="57">
        <v>45869</v>
      </c>
      <c r="C126" s="56" t="s">
        <v>293</v>
      </c>
      <c r="D126" s="56" t="s">
        <v>334</v>
      </c>
      <c r="E126" s="56">
        <v>20</v>
      </c>
      <c r="F126" s="56" t="s">
        <v>292</v>
      </c>
    </row>
    <row r="127" spans="1:6" x14ac:dyDescent="0.25">
      <c r="A127" s="56" t="s">
        <v>98</v>
      </c>
      <c r="B127" s="57">
        <v>45873</v>
      </c>
      <c r="C127" s="56" t="s">
        <v>293</v>
      </c>
      <c r="D127" s="56" t="s">
        <v>383</v>
      </c>
      <c r="E127" s="56">
        <v>1200</v>
      </c>
      <c r="F127" s="56" t="s">
        <v>292</v>
      </c>
    </row>
    <row r="128" spans="1:6" x14ac:dyDescent="0.25">
      <c r="A128" s="56" t="s">
        <v>67</v>
      </c>
      <c r="B128" s="57">
        <v>45873</v>
      </c>
      <c r="C128" s="56" t="s">
        <v>293</v>
      </c>
      <c r="D128" s="56" t="s">
        <v>384</v>
      </c>
      <c r="E128" s="56">
        <v>50000</v>
      </c>
      <c r="F128" s="56" t="s">
        <v>292</v>
      </c>
    </row>
    <row r="129" spans="1:6" x14ac:dyDescent="0.25">
      <c r="A129" s="56" t="s">
        <v>385</v>
      </c>
      <c r="B129" s="57">
        <v>45875</v>
      </c>
      <c r="C129" s="56" t="s">
        <v>290</v>
      </c>
      <c r="D129" s="56" t="s">
        <v>386</v>
      </c>
      <c r="E129" s="56">
        <v>10</v>
      </c>
      <c r="F129" s="56" t="s">
        <v>292</v>
      </c>
    </row>
    <row r="130" spans="1:6" x14ac:dyDescent="0.25">
      <c r="A130" s="56" t="s">
        <v>385</v>
      </c>
      <c r="B130" s="57">
        <v>45875</v>
      </c>
      <c r="C130" s="56" t="s">
        <v>290</v>
      </c>
      <c r="D130" s="56" t="s">
        <v>387</v>
      </c>
      <c r="E130" s="56">
        <v>10</v>
      </c>
      <c r="F130" s="56" t="s">
        <v>292</v>
      </c>
    </row>
    <row r="131" spans="1:6" x14ac:dyDescent="0.25">
      <c r="A131" s="56" t="s">
        <v>385</v>
      </c>
      <c r="B131" s="57">
        <v>45875</v>
      </c>
      <c r="C131" s="56" t="s">
        <v>290</v>
      </c>
      <c r="D131" s="56" t="s">
        <v>388</v>
      </c>
      <c r="E131" s="56">
        <v>10</v>
      </c>
      <c r="F131" s="56" t="s">
        <v>292</v>
      </c>
    </row>
    <row r="132" spans="1:6" x14ac:dyDescent="0.25">
      <c r="A132" s="56" t="s">
        <v>385</v>
      </c>
      <c r="B132" s="57">
        <v>45875</v>
      </c>
      <c r="C132" s="56" t="s">
        <v>290</v>
      </c>
      <c r="D132" s="56" t="s">
        <v>389</v>
      </c>
      <c r="E132" s="56">
        <v>4</v>
      </c>
      <c r="F132" s="56" t="s">
        <v>292</v>
      </c>
    </row>
    <row r="133" spans="1:6" x14ac:dyDescent="0.25">
      <c r="A133" s="56" t="s">
        <v>385</v>
      </c>
      <c r="B133" s="57">
        <v>45875</v>
      </c>
      <c r="C133" s="56" t="s">
        <v>290</v>
      </c>
      <c r="D133" s="56" t="s">
        <v>390</v>
      </c>
      <c r="E133" s="56">
        <v>10</v>
      </c>
      <c r="F133" s="56" t="s">
        <v>292</v>
      </c>
    </row>
    <row r="134" spans="1:6" x14ac:dyDescent="0.25">
      <c r="A134" s="56" t="s">
        <v>385</v>
      </c>
      <c r="B134" s="57">
        <v>45875</v>
      </c>
      <c r="C134" s="56" t="s">
        <v>290</v>
      </c>
      <c r="D134" s="56" t="s">
        <v>391</v>
      </c>
      <c r="E134" s="56">
        <v>10</v>
      </c>
      <c r="F134" s="56" t="s">
        <v>292</v>
      </c>
    </row>
    <row r="135" spans="1:6" x14ac:dyDescent="0.25">
      <c r="A135" s="56" t="s">
        <v>98</v>
      </c>
      <c r="B135" s="57">
        <v>45877</v>
      </c>
      <c r="C135" s="56" t="s">
        <v>293</v>
      </c>
      <c r="D135" s="56" t="s">
        <v>392</v>
      </c>
      <c r="E135" s="56">
        <v>1000</v>
      </c>
      <c r="F135" s="56" t="s">
        <v>292</v>
      </c>
    </row>
    <row r="136" spans="1:6" x14ac:dyDescent="0.25">
      <c r="A136" s="56" t="s">
        <v>336</v>
      </c>
      <c r="B136" s="57">
        <v>45880</v>
      </c>
      <c r="C136" s="56" t="s">
        <v>293</v>
      </c>
      <c r="D136" s="56" t="s">
        <v>349</v>
      </c>
      <c r="E136" s="56">
        <v>20</v>
      </c>
      <c r="F136" s="56" t="s">
        <v>292</v>
      </c>
    </row>
    <row r="137" spans="1:6" x14ac:dyDescent="0.25">
      <c r="A137" s="56" t="s">
        <v>336</v>
      </c>
      <c r="B137" s="57">
        <v>45880</v>
      </c>
      <c r="C137" s="56" t="s">
        <v>293</v>
      </c>
      <c r="D137" s="56" t="s">
        <v>349</v>
      </c>
      <c r="E137" s="56">
        <v>20</v>
      </c>
      <c r="F137" s="56" t="s">
        <v>299</v>
      </c>
    </row>
    <row r="138" spans="1:6" x14ac:dyDescent="0.25">
      <c r="A138" s="56" t="s">
        <v>58</v>
      </c>
      <c r="B138" s="57">
        <v>45882</v>
      </c>
      <c r="C138" s="56" t="s">
        <v>293</v>
      </c>
      <c r="D138" s="56" t="s">
        <v>393</v>
      </c>
      <c r="E138" s="56">
        <v>161</v>
      </c>
      <c r="F138" s="56" t="s">
        <v>292</v>
      </c>
    </row>
    <row r="139" spans="1:6" x14ac:dyDescent="0.25">
      <c r="A139" s="56" t="s">
        <v>98</v>
      </c>
      <c r="B139" s="57">
        <v>45884</v>
      </c>
      <c r="C139" s="56" t="s">
        <v>290</v>
      </c>
      <c r="D139" s="56" t="s">
        <v>394</v>
      </c>
      <c r="E139" s="56">
        <v>2000</v>
      </c>
      <c r="F139" s="56" t="s">
        <v>292</v>
      </c>
    </row>
    <row r="140" spans="1:6" x14ac:dyDescent="0.25">
      <c r="A140" s="56" t="s">
        <v>171</v>
      </c>
      <c r="B140" s="57">
        <v>45884</v>
      </c>
      <c r="C140" s="56" t="s">
        <v>293</v>
      </c>
      <c r="D140" s="56" t="s">
        <v>395</v>
      </c>
      <c r="E140" s="56">
        <v>8000</v>
      </c>
      <c r="F140" s="56" t="s">
        <v>292</v>
      </c>
    </row>
    <row r="141" spans="1:6" x14ac:dyDescent="0.25">
      <c r="A141" s="56" t="s">
        <v>67</v>
      </c>
      <c r="B141" s="57">
        <v>45884</v>
      </c>
      <c r="C141" s="56" t="s">
        <v>293</v>
      </c>
      <c r="D141" s="56" t="s">
        <v>396</v>
      </c>
      <c r="E141" s="56">
        <v>800</v>
      </c>
      <c r="F141" s="56" t="s">
        <v>292</v>
      </c>
    </row>
    <row r="142" spans="1:6" x14ac:dyDescent="0.25">
      <c r="A142" s="56" t="s">
        <v>67</v>
      </c>
      <c r="B142" s="57">
        <v>45884</v>
      </c>
      <c r="C142" s="56" t="s">
        <v>290</v>
      </c>
      <c r="D142" s="56" t="s">
        <v>373</v>
      </c>
      <c r="E142" s="56">
        <v>2382</v>
      </c>
      <c r="F142" s="56" t="s">
        <v>299</v>
      </c>
    </row>
    <row r="143" spans="1:6" x14ac:dyDescent="0.25">
      <c r="A143" s="56" t="s">
        <v>67</v>
      </c>
      <c r="B143" s="57">
        <v>45884</v>
      </c>
      <c r="C143" s="56" t="s">
        <v>290</v>
      </c>
      <c r="D143" s="56" t="s">
        <v>374</v>
      </c>
      <c r="E143" s="56">
        <v>28000</v>
      </c>
      <c r="F143" s="56" t="s">
        <v>292</v>
      </c>
    </row>
    <row r="144" spans="1:6" x14ac:dyDescent="0.25">
      <c r="A144" s="56" t="s">
        <v>67</v>
      </c>
      <c r="B144" s="57">
        <v>45884</v>
      </c>
      <c r="C144" s="56" t="s">
        <v>290</v>
      </c>
      <c r="D144" s="56" t="s">
        <v>397</v>
      </c>
      <c r="E144" s="56">
        <v>21000</v>
      </c>
      <c r="F144" s="56" t="s">
        <v>292</v>
      </c>
    </row>
    <row r="145" spans="1:6" x14ac:dyDescent="0.25">
      <c r="A145" s="56" t="s">
        <v>67</v>
      </c>
      <c r="B145" s="57">
        <v>45884</v>
      </c>
      <c r="C145" s="56" t="s">
        <v>290</v>
      </c>
      <c r="D145" s="56" t="s">
        <v>295</v>
      </c>
      <c r="E145" s="56">
        <v>20000</v>
      </c>
      <c r="F145" s="56" t="s">
        <v>292</v>
      </c>
    </row>
    <row r="146" spans="1:6" x14ac:dyDescent="0.25">
      <c r="A146" s="56" t="s">
        <v>124</v>
      </c>
      <c r="B146" s="57">
        <v>45890</v>
      </c>
      <c r="C146" s="56" t="s">
        <v>293</v>
      </c>
      <c r="D146" s="56" t="s">
        <v>398</v>
      </c>
      <c r="E146" s="56">
        <v>1000</v>
      </c>
      <c r="F146" s="56" t="s">
        <v>292</v>
      </c>
    </row>
    <row r="147" spans="1:6" x14ac:dyDescent="0.25">
      <c r="A147" s="56" t="s">
        <v>98</v>
      </c>
      <c r="B147" s="57">
        <v>45891</v>
      </c>
      <c r="C147" s="56" t="s">
        <v>290</v>
      </c>
      <c r="D147" s="56" t="s">
        <v>399</v>
      </c>
      <c r="E147" s="56">
        <v>400</v>
      </c>
      <c r="F147" s="56" t="s">
        <v>292</v>
      </c>
    </row>
    <row r="148" spans="1:6" x14ac:dyDescent="0.25">
      <c r="A148" s="56" t="s">
        <v>98</v>
      </c>
      <c r="B148" s="57">
        <v>45891</v>
      </c>
      <c r="C148" s="56" t="s">
        <v>290</v>
      </c>
      <c r="D148" s="56" t="s">
        <v>400</v>
      </c>
      <c r="E148" s="56">
        <v>3000</v>
      </c>
      <c r="F148" s="56" t="s">
        <v>292</v>
      </c>
    </row>
    <row r="149" spans="1:6" x14ac:dyDescent="0.25">
      <c r="A149" s="56" t="s">
        <v>67</v>
      </c>
      <c r="B149" s="57">
        <v>45893</v>
      </c>
      <c r="C149" s="56" t="s">
        <v>290</v>
      </c>
      <c r="D149" s="56" t="s">
        <v>374</v>
      </c>
      <c r="E149" s="56">
        <v>28000</v>
      </c>
      <c r="F149" s="56" t="s">
        <v>292</v>
      </c>
    </row>
    <row r="150" spans="1:6" x14ac:dyDescent="0.25">
      <c r="A150" s="56" t="s">
        <v>67</v>
      </c>
      <c r="B150" s="57">
        <v>45893</v>
      </c>
      <c r="C150" s="56" t="s">
        <v>290</v>
      </c>
      <c r="D150" s="56" t="s">
        <v>373</v>
      </c>
      <c r="E150" s="56">
        <v>800</v>
      </c>
      <c r="F150" s="56" t="s">
        <v>299</v>
      </c>
    </row>
    <row r="151" spans="1:6" x14ac:dyDescent="0.25">
      <c r="A151" s="56" t="s">
        <v>67</v>
      </c>
      <c r="B151" s="57">
        <v>45893</v>
      </c>
      <c r="C151" s="56" t="s">
        <v>290</v>
      </c>
      <c r="D151" s="56" t="s">
        <v>397</v>
      </c>
      <c r="E151" s="56">
        <v>21000</v>
      </c>
      <c r="F151" s="56" t="s">
        <v>292</v>
      </c>
    </row>
    <row r="152" spans="1:6" x14ac:dyDescent="0.25">
      <c r="A152" s="56" t="s">
        <v>67</v>
      </c>
      <c r="B152" s="57">
        <v>45893</v>
      </c>
      <c r="C152" s="56" t="s">
        <v>290</v>
      </c>
      <c r="D152" s="56" t="s">
        <v>295</v>
      </c>
      <c r="E152" s="56">
        <v>20000</v>
      </c>
      <c r="F152" s="56" t="s">
        <v>292</v>
      </c>
    </row>
    <row r="153" spans="1:6" x14ac:dyDescent="0.25">
      <c r="A153" s="56" t="s">
        <v>134</v>
      </c>
      <c r="B153" s="57">
        <v>45894</v>
      </c>
      <c r="C153" s="56" t="s">
        <v>290</v>
      </c>
      <c r="D153" s="56" t="s">
        <v>401</v>
      </c>
      <c r="E153" s="56">
        <v>5000</v>
      </c>
      <c r="F153" s="56" t="s">
        <v>299</v>
      </c>
    </row>
    <row r="154" spans="1:6" x14ac:dyDescent="0.25">
      <c r="A154" s="56" t="s">
        <v>171</v>
      </c>
      <c r="B154" s="57">
        <v>45894</v>
      </c>
      <c r="C154" s="56" t="s">
        <v>293</v>
      </c>
      <c r="D154" s="56" t="s">
        <v>402</v>
      </c>
      <c r="E154" s="56">
        <v>4000</v>
      </c>
      <c r="F154" s="56" t="s">
        <v>292</v>
      </c>
    </row>
    <row r="155" spans="1:6" x14ac:dyDescent="0.25">
      <c r="A155" s="56" t="s">
        <v>134</v>
      </c>
      <c r="B155" s="57">
        <v>45895</v>
      </c>
      <c r="C155" s="56" t="s">
        <v>290</v>
      </c>
      <c r="D155" s="56" t="s">
        <v>401</v>
      </c>
      <c r="E155" s="56">
        <v>4000</v>
      </c>
      <c r="F155" s="56" t="s">
        <v>292</v>
      </c>
    </row>
    <row r="156" spans="1:6" x14ac:dyDescent="0.25">
      <c r="A156" s="56" t="s">
        <v>67</v>
      </c>
      <c r="B156" s="57">
        <v>45895</v>
      </c>
      <c r="C156" s="56" t="s">
        <v>293</v>
      </c>
      <c r="D156" s="56" t="s">
        <v>403</v>
      </c>
      <c r="E156" s="56">
        <v>100000</v>
      </c>
      <c r="F156" s="56" t="s">
        <v>292</v>
      </c>
    </row>
    <row r="157" spans="1:6" x14ac:dyDescent="0.25">
      <c r="A157" s="56" t="s">
        <v>124</v>
      </c>
      <c r="B157" s="57">
        <v>45896</v>
      </c>
      <c r="C157" s="56" t="s">
        <v>293</v>
      </c>
      <c r="D157" s="56" t="s">
        <v>398</v>
      </c>
      <c r="E157" s="56">
        <v>1000</v>
      </c>
      <c r="F157" s="56" t="s">
        <v>292</v>
      </c>
    </row>
    <row r="158" spans="1:6" x14ac:dyDescent="0.25">
      <c r="A158" s="56" t="s">
        <v>67</v>
      </c>
      <c r="B158" s="57">
        <v>45898</v>
      </c>
      <c r="C158" s="56" t="s">
        <v>290</v>
      </c>
      <c r="D158" s="56" t="s">
        <v>295</v>
      </c>
      <c r="E158" s="56">
        <v>20000</v>
      </c>
      <c r="F158" s="56" t="s">
        <v>292</v>
      </c>
    </row>
    <row r="159" spans="1:6" x14ac:dyDescent="0.25">
      <c r="A159" s="56" t="s">
        <v>171</v>
      </c>
      <c r="B159" s="57">
        <v>45901</v>
      </c>
      <c r="C159" s="56" t="s">
        <v>290</v>
      </c>
      <c r="D159" s="56" t="s">
        <v>404</v>
      </c>
      <c r="E159" s="56">
        <v>3600</v>
      </c>
      <c r="F159" s="56" t="s">
        <v>292</v>
      </c>
    </row>
    <row r="160" spans="1:6" x14ac:dyDescent="0.25">
      <c r="A160" s="56" t="s">
        <v>109</v>
      </c>
      <c r="B160" s="57">
        <v>45903</v>
      </c>
      <c r="C160" s="56" t="s">
        <v>293</v>
      </c>
      <c r="D160" s="56" t="s">
        <v>405</v>
      </c>
      <c r="E160" s="56">
        <v>100</v>
      </c>
      <c r="F160" s="56" t="s">
        <v>299</v>
      </c>
    </row>
    <row r="161" spans="1:6" x14ac:dyDescent="0.25">
      <c r="A161" s="56" t="s">
        <v>109</v>
      </c>
      <c r="B161" s="57">
        <v>45903</v>
      </c>
      <c r="C161" s="56" t="s">
        <v>293</v>
      </c>
      <c r="D161" s="56" t="s">
        <v>406</v>
      </c>
      <c r="E161" s="56">
        <v>60</v>
      </c>
      <c r="F161" s="56" t="s">
        <v>292</v>
      </c>
    </row>
    <row r="162" spans="1:6" x14ac:dyDescent="0.25">
      <c r="A162" s="56" t="s">
        <v>109</v>
      </c>
      <c r="B162" s="57">
        <v>45903</v>
      </c>
      <c r="C162" s="56" t="s">
        <v>290</v>
      </c>
      <c r="D162" s="56" t="s">
        <v>407</v>
      </c>
      <c r="E162" s="56">
        <v>139.44000244140599</v>
      </c>
      <c r="F162" s="56" t="s">
        <v>299</v>
      </c>
    </row>
    <row r="163" spans="1:6" x14ac:dyDescent="0.25">
      <c r="A163" s="56" t="s">
        <v>109</v>
      </c>
      <c r="B163" s="57">
        <v>45903</v>
      </c>
      <c r="C163" s="56" t="s">
        <v>290</v>
      </c>
      <c r="D163" s="56" t="s">
        <v>408</v>
      </c>
      <c r="E163" s="56">
        <v>15</v>
      </c>
      <c r="F163" s="56" t="s">
        <v>299</v>
      </c>
    </row>
    <row r="164" spans="1:6" x14ac:dyDescent="0.25">
      <c r="A164" s="56" t="s">
        <v>109</v>
      </c>
      <c r="B164" s="57">
        <v>45903</v>
      </c>
      <c r="C164" s="56" t="s">
        <v>293</v>
      </c>
      <c r="D164" s="56" t="s">
        <v>405</v>
      </c>
      <c r="E164" s="56">
        <v>50</v>
      </c>
      <c r="F164" s="56" t="s">
        <v>299</v>
      </c>
    </row>
    <row r="165" spans="1:6" x14ac:dyDescent="0.25">
      <c r="A165" s="56" t="s">
        <v>109</v>
      </c>
      <c r="B165" s="57">
        <v>45903</v>
      </c>
      <c r="C165" s="56" t="s">
        <v>293</v>
      </c>
      <c r="D165" s="56" t="s">
        <v>406</v>
      </c>
      <c r="E165" s="56">
        <v>60</v>
      </c>
      <c r="F165" s="56" t="s">
        <v>292</v>
      </c>
    </row>
    <row r="166" spans="1:6" x14ac:dyDescent="0.25">
      <c r="A166" s="56" t="s">
        <v>109</v>
      </c>
      <c r="B166" s="57">
        <v>45903</v>
      </c>
      <c r="C166" s="56" t="s">
        <v>290</v>
      </c>
      <c r="D166" s="56" t="s">
        <v>408</v>
      </c>
      <c r="E166" s="56">
        <v>10</v>
      </c>
      <c r="F166" s="56" t="s">
        <v>299</v>
      </c>
    </row>
    <row r="167" spans="1:6" x14ac:dyDescent="0.25">
      <c r="A167" s="56" t="s">
        <v>109</v>
      </c>
      <c r="B167" s="57">
        <v>45903</v>
      </c>
      <c r="C167" s="56" t="s">
        <v>293</v>
      </c>
      <c r="D167" s="56" t="s">
        <v>405</v>
      </c>
      <c r="E167" s="56">
        <v>200</v>
      </c>
      <c r="F167" s="56" t="s">
        <v>299</v>
      </c>
    </row>
    <row r="168" spans="1:6" x14ac:dyDescent="0.25">
      <c r="A168" s="56" t="s">
        <v>109</v>
      </c>
      <c r="B168" s="57">
        <v>45903</v>
      </c>
      <c r="C168" s="56" t="s">
        <v>293</v>
      </c>
      <c r="D168" s="56" t="s">
        <v>409</v>
      </c>
      <c r="E168" s="56">
        <v>80</v>
      </c>
      <c r="F168" s="56" t="s">
        <v>292</v>
      </c>
    </row>
    <row r="169" spans="1:6" x14ac:dyDescent="0.25">
      <c r="A169" s="56" t="s">
        <v>109</v>
      </c>
      <c r="B169" s="57">
        <v>45903</v>
      </c>
      <c r="C169" s="56" t="s">
        <v>290</v>
      </c>
      <c r="D169" s="56" t="s">
        <v>407</v>
      </c>
      <c r="E169" s="56">
        <v>282.16000366210898</v>
      </c>
      <c r="F169" s="56" t="s">
        <v>299</v>
      </c>
    </row>
    <row r="170" spans="1:6" x14ac:dyDescent="0.25">
      <c r="A170" s="56" t="s">
        <v>109</v>
      </c>
      <c r="B170" s="57">
        <v>45903</v>
      </c>
      <c r="C170" s="56" t="s">
        <v>290</v>
      </c>
      <c r="D170" s="56" t="s">
        <v>408</v>
      </c>
      <c r="E170" s="56">
        <v>20</v>
      </c>
      <c r="F170" s="56" t="s">
        <v>299</v>
      </c>
    </row>
    <row r="171" spans="1:6" x14ac:dyDescent="0.25">
      <c r="A171" s="56" t="s">
        <v>171</v>
      </c>
      <c r="B171" s="57">
        <v>45903</v>
      </c>
      <c r="C171" s="56" t="s">
        <v>293</v>
      </c>
      <c r="D171" s="56" t="s">
        <v>410</v>
      </c>
      <c r="E171" s="56">
        <v>2000</v>
      </c>
      <c r="F171" s="56" t="s">
        <v>292</v>
      </c>
    </row>
    <row r="172" spans="1:6" x14ac:dyDescent="0.25">
      <c r="A172" s="56" t="s">
        <v>109</v>
      </c>
      <c r="B172" s="57">
        <v>45904</v>
      </c>
      <c r="C172" s="56" t="s">
        <v>290</v>
      </c>
      <c r="D172" s="56" t="s">
        <v>411</v>
      </c>
      <c r="E172" s="56">
        <v>55</v>
      </c>
      <c r="F172" s="56" t="s">
        <v>299</v>
      </c>
    </row>
    <row r="173" spans="1:6" x14ac:dyDescent="0.25">
      <c r="A173" s="56" t="s">
        <v>109</v>
      </c>
      <c r="B173" s="57">
        <v>45904</v>
      </c>
      <c r="C173" s="56" t="s">
        <v>293</v>
      </c>
      <c r="D173" s="56" t="s">
        <v>405</v>
      </c>
      <c r="E173" s="56">
        <v>350</v>
      </c>
      <c r="F173" s="56" t="s">
        <v>299</v>
      </c>
    </row>
    <row r="174" spans="1:6" x14ac:dyDescent="0.25">
      <c r="A174" s="56" t="s">
        <v>109</v>
      </c>
      <c r="B174" s="57">
        <v>45904</v>
      </c>
      <c r="C174" s="56" t="s">
        <v>290</v>
      </c>
      <c r="D174" s="56" t="s">
        <v>412</v>
      </c>
      <c r="E174" s="56">
        <v>421.60000610351602</v>
      </c>
      <c r="F174" s="56" t="s">
        <v>292</v>
      </c>
    </row>
    <row r="175" spans="1:6" x14ac:dyDescent="0.25">
      <c r="A175" s="56" t="s">
        <v>131</v>
      </c>
      <c r="B175" s="57">
        <v>45905</v>
      </c>
      <c r="C175" s="56" t="s">
        <v>293</v>
      </c>
      <c r="D175" s="56" t="s">
        <v>413</v>
      </c>
      <c r="E175" s="56">
        <v>4000</v>
      </c>
      <c r="F175" s="56" t="s">
        <v>292</v>
      </c>
    </row>
    <row r="176" spans="1:6" x14ac:dyDescent="0.25">
      <c r="A176" s="56" t="s">
        <v>98</v>
      </c>
      <c r="B176" s="57">
        <v>45905</v>
      </c>
      <c r="C176" s="56" t="s">
        <v>290</v>
      </c>
      <c r="D176" s="56" t="s">
        <v>383</v>
      </c>
      <c r="E176" s="56">
        <v>800</v>
      </c>
      <c r="F176" s="56" t="s">
        <v>292</v>
      </c>
    </row>
    <row r="177" spans="1:6" x14ac:dyDescent="0.25">
      <c r="A177" s="56" t="s">
        <v>171</v>
      </c>
      <c r="B177" s="57">
        <v>45908</v>
      </c>
      <c r="C177" s="56" t="s">
        <v>293</v>
      </c>
      <c r="D177" s="56" t="s">
        <v>414</v>
      </c>
      <c r="E177" s="56">
        <v>3000</v>
      </c>
      <c r="F177" s="56" t="s">
        <v>292</v>
      </c>
    </row>
    <row r="178" spans="1:6" x14ac:dyDescent="0.25">
      <c r="A178" s="56" t="s">
        <v>171</v>
      </c>
      <c r="B178" s="57">
        <v>45908</v>
      </c>
      <c r="C178" s="56" t="s">
        <v>290</v>
      </c>
      <c r="D178" s="56" t="s">
        <v>415</v>
      </c>
      <c r="E178" s="56">
        <v>800</v>
      </c>
      <c r="F178" s="56" t="s">
        <v>292</v>
      </c>
    </row>
    <row r="179" spans="1:6" x14ac:dyDescent="0.25">
      <c r="A179" s="56" t="s">
        <v>67</v>
      </c>
      <c r="B179" s="57">
        <v>45908</v>
      </c>
      <c r="C179" s="56" t="s">
        <v>290</v>
      </c>
      <c r="D179" s="56" t="s">
        <v>416</v>
      </c>
      <c r="E179" s="56">
        <v>50000</v>
      </c>
      <c r="F179" s="56" t="s">
        <v>292</v>
      </c>
    </row>
    <row r="180" spans="1:6" x14ac:dyDescent="0.25">
      <c r="A180" s="56" t="s">
        <v>189</v>
      </c>
      <c r="B180" s="57">
        <v>45908</v>
      </c>
      <c r="C180" s="56" t="s">
        <v>290</v>
      </c>
      <c r="D180" s="56" t="s">
        <v>417</v>
      </c>
      <c r="E180" s="56">
        <v>300</v>
      </c>
      <c r="F180" s="56" t="s">
        <v>292</v>
      </c>
    </row>
    <row r="181" spans="1:6" x14ac:dyDescent="0.25">
      <c r="A181" s="56" t="s">
        <v>171</v>
      </c>
      <c r="B181" s="57">
        <v>45909</v>
      </c>
      <c r="C181" s="56" t="s">
        <v>293</v>
      </c>
      <c r="D181" s="56" t="s">
        <v>418</v>
      </c>
      <c r="E181" s="56">
        <v>200000</v>
      </c>
      <c r="F181" s="56" t="s">
        <v>292</v>
      </c>
    </row>
    <row r="182" spans="1:6" x14ac:dyDescent="0.25">
      <c r="A182" s="56" t="s">
        <v>171</v>
      </c>
      <c r="B182" s="57">
        <v>45911</v>
      </c>
      <c r="C182" s="56" t="s">
        <v>290</v>
      </c>
      <c r="D182" s="56" t="s">
        <v>419</v>
      </c>
      <c r="E182" s="56">
        <v>21600</v>
      </c>
      <c r="F182" s="56" t="s">
        <v>299</v>
      </c>
    </row>
    <row r="183" spans="1:6" x14ac:dyDescent="0.25">
      <c r="A183" s="56" t="s">
        <v>67</v>
      </c>
      <c r="B183" s="57">
        <v>45915</v>
      </c>
      <c r="C183" s="56" t="s">
        <v>290</v>
      </c>
      <c r="D183" s="56" t="s">
        <v>416</v>
      </c>
      <c r="E183" s="56">
        <v>50000</v>
      </c>
      <c r="F183" s="56" t="s">
        <v>292</v>
      </c>
    </row>
    <row r="184" spans="1:6" x14ac:dyDescent="0.25">
      <c r="A184" s="56" t="s">
        <v>67</v>
      </c>
      <c r="B184" s="57">
        <v>45917</v>
      </c>
      <c r="C184" s="56" t="s">
        <v>290</v>
      </c>
      <c r="D184" s="56" t="s">
        <v>368</v>
      </c>
      <c r="E184" s="56">
        <v>5200</v>
      </c>
      <c r="F184" s="56" t="s">
        <v>292</v>
      </c>
    </row>
    <row r="185" spans="1:6" x14ac:dyDescent="0.25">
      <c r="A185" s="56" t="s">
        <v>171</v>
      </c>
      <c r="B185" s="57">
        <v>45917</v>
      </c>
      <c r="C185" s="56" t="s">
        <v>293</v>
      </c>
      <c r="D185" s="56" t="s">
        <v>418</v>
      </c>
      <c r="E185" s="56">
        <v>200000</v>
      </c>
      <c r="F185" s="56" t="s">
        <v>292</v>
      </c>
    </row>
    <row r="186" spans="1:6" x14ac:dyDescent="0.25">
      <c r="A186" s="56" t="s">
        <v>171</v>
      </c>
      <c r="B186" s="57">
        <v>45917</v>
      </c>
      <c r="C186" s="56" t="s">
        <v>293</v>
      </c>
      <c r="D186" s="56" t="s">
        <v>366</v>
      </c>
      <c r="E186" s="56">
        <v>5000</v>
      </c>
      <c r="F186" s="56" t="s">
        <v>292</v>
      </c>
    </row>
    <row r="187" spans="1:6" x14ac:dyDescent="0.25">
      <c r="A187" s="56" t="s">
        <v>171</v>
      </c>
      <c r="B187" s="57">
        <v>45917</v>
      </c>
      <c r="C187" s="56" t="s">
        <v>290</v>
      </c>
      <c r="D187" s="56" t="s">
        <v>420</v>
      </c>
      <c r="E187" s="56">
        <v>1600</v>
      </c>
      <c r="F187" s="56" t="s">
        <v>292</v>
      </c>
    </row>
    <row r="188" spans="1:6" x14ac:dyDescent="0.25">
      <c r="A188" s="56" t="s">
        <v>171</v>
      </c>
      <c r="B188" s="57">
        <v>45917</v>
      </c>
      <c r="C188" s="56" t="s">
        <v>290</v>
      </c>
      <c r="D188" s="56" t="s">
        <v>421</v>
      </c>
      <c r="E188" s="56">
        <v>1000</v>
      </c>
      <c r="F188" s="56" t="s">
        <v>299</v>
      </c>
    </row>
    <row r="189" spans="1:6" x14ac:dyDescent="0.25">
      <c r="A189" s="56" t="s">
        <v>422</v>
      </c>
      <c r="B189" s="57">
        <v>45918</v>
      </c>
      <c r="C189" s="56" t="s">
        <v>290</v>
      </c>
      <c r="D189" s="56" t="s">
        <v>297</v>
      </c>
      <c r="E189" s="56">
        <v>9</v>
      </c>
      <c r="F189" s="56" t="s">
        <v>292</v>
      </c>
    </row>
    <row r="190" spans="1:6" x14ac:dyDescent="0.25">
      <c r="A190" s="56" t="s">
        <v>67</v>
      </c>
      <c r="B190" s="57">
        <v>45922</v>
      </c>
      <c r="C190" s="56" t="s">
        <v>290</v>
      </c>
      <c r="D190" s="56" t="s">
        <v>401</v>
      </c>
      <c r="E190" s="56">
        <v>10000</v>
      </c>
      <c r="F190" s="56" t="s">
        <v>292</v>
      </c>
    </row>
    <row r="191" spans="1:6" x14ac:dyDescent="0.25">
      <c r="A191" s="56" t="s">
        <v>422</v>
      </c>
      <c r="B191" s="57">
        <v>45924</v>
      </c>
      <c r="C191" s="56" t="s">
        <v>290</v>
      </c>
      <c r="D191" s="56" t="s">
        <v>391</v>
      </c>
      <c r="E191" s="56">
        <v>0.15613999962806699</v>
      </c>
      <c r="F191" s="56" t="s">
        <v>292</v>
      </c>
    </row>
    <row r="192" spans="1:6" x14ac:dyDescent="0.25">
      <c r="A192" s="56" t="s">
        <v>422</v>
      </c>
      <c r="B192" s="57">
        <v>45924</v>
      </c>
      <c r="C192" s="56" t="s">
        <v>290</v>
      </c>
      <c r="D192" s="56" t="s">
        <v>423</v>
      </c>
      <c r="E192" s="56">
        <v>3</v>
      </c>
      <c r="F192" s="56" t="s">
        <v>292</v>
      </c>
    </row>
    <row r="193" spans="1:6" x14ac:dyDescent="0.25">
      <c r="A193" s="56" t="s">
        <v>171</v>
      </c>
      <c r="B193" s="57">
        <v>45925</v>
      </c>
      <c r="C193" s="56" t="s">
        <v>293</v>
      </c>
      <c r="D193" s="56" t="s">
        <v>424</v>
      </c>
      <c r="E193" s="56">
        <v>200000</v>
      </c>
      <c r="F193" s="56" t="s">
        <v>292</v>
      </c>
    </row>
    <row r="194" spans="1:6" x14ac:dyDescent="0.25">
      <c r="A194" s="56" t="s">
        <v>171</v>
      </c>
      <c r="B194" s="57">
        <v>45925</v>
      </c>
      <c r="C194" s="56" t="s">
        <v>290</v>
      </c>
      <c r="D194" s="56" t="s">
        <v>425</v>
      </c>
      <c r="E194" s="56">
        <v>8000</v>
      </c>
      <c r="F194" s="56" t="s">
        <v>292</v>
      </c>
    </row>
    <row r="195" spans="1:6" x14ac:dyDescent="0.25">
      <c r="A195" s="56" t="s">
        <v>171</v>
      </c>
      <c r="B195" s="57">
        <v>45930</v>
      </c>
      <c r="C195" s="56" t="s">
        <v>293</v>
      </c>
      <c r="D195" s="56" t="s">
        <v>426</v>
      </c>
      <c r="E195" s="56">
        <v>200000</v>
      </c>
      <c r="F195" s="56" t="s">
        <v>292</v>
      </c>
    </row>
    <row r="196" spans="1:6" x14ac:dyDescent="0.25">
      <c r="A196" s="56" t="s">
        <v>422</v>
      </c>
      <c r="B196" s="57">
        <v>45933</v>
      </c>
      <c r="C196" s="56" t="s">
        <v>293</v>
      </c>
      <c r="D196" s="56" t="s">
        <v>427</v>
      </c>
      <c r="E196" s="56">
        <v>10</v>
      </c>
      <c r="F196" s="56" t="s">
        <v>299</v>
      </c>
    </row>
    <row r="197" spans="1:6" x14ac:dyDescent="0.25">
      <c r="A197" s="56" t="s">
        <v>422</v>
      </c>
      <c r="B197" s="57">
        <v>45933</v>
      </c>
      <c r="C197" s="56" t="s">
        <v>290</v>
      </c>
      <c r="D197" s="56" t="s">
        <v>297</v>
      </c>
      <c r="E197" s="56">
        <v>9</v>
      </c>
      <c r="F197" s="56" t="s">
        <v>299</v>
      </c>
    </row>
    <row r="198" spans="1:6" x14ac:dyDescent="0.25">
      <c r="A198" s="56" t="s">
        <v>28</v>
      </c>
      <c r="B198" s="57">
        <v>45936</v>
      </c>
      <c r="C198" s="56" t="s">
        <v>290</v>
      </c>
      <c r="D198" s="56" t="s">
        <v>428</v>
      </c>
      <c r="E198" s="56">
        <v>300</v>
      </c>
      <c r="F198" s="56" t="s">
        <v>292</v>
      </c>
    </row>
    <row r="199" spans="1:6" x14ac:dyDescent="0.25">
      <c r="A199" s="56" t="s">
        <v>171</v>
      </c>
      <c r="B199" s="57">
        <v>45939</v>
      </c>
      <c r="C199" s="56" t="s">
        <v>293</v>
      </c>
      <c r="D199" s="56" t="s">
        <v>429</v>
      </c>
      <c r="E199" s="56">
        <v>5000</v>
      </c>
      <c r="F199" s="56" t="s">
        <v>299</v>
      </c>
    </row>
    <row r="200" spans="1:6" x14ac:dyDescent="0.25">
      <c r="A200" s="56" t="s">
        <v>98</v>
      </c>
      <c r="B200" s="57">
        <v>45940</v>
      </c>
      <c r="C200" s="56" t="s">
        <v>293</v>
      </c>
      <c r="D200" s="56" t="s">
        <v>430</v>
      </c>
      <c r="E200" s="56">
        <v>600</v>
      </c>
      <c r="F200" s="56" t="s">
        <v>292</v>
      </c>
    </row>
    <row r="201" spans="1:6" x14ac:dyDescent="0.25">
      <c r="A201" s="56" t="s">
        <v>98</v>
      </c>
      <c r="B201" s="57">
        <v>45940</v>
      </c>
      <c r="C201" s="56" t="s">
        <v>293</v>
      </c>
      <c r="D201" s="56" t="s">
        <v>431</v>
      </c>
      <c r="E201" s="56">
        <v>2000</v>
      </c>
      <c r="F201" s="56" t="s">
        <v>292</v>
      </c>
    </row>
    <row r="202" spans="1:6" x14ac:dyDescent="0.25">
      <c r="A202" s="56" t="s">
        <v>422</v>
      </c>
      <c r="B202" s="57">
        <v>45943</v>
      </c>
      <c r="C202" s="56" t="s">
        <v>290</v>
      </c>
      <c r="D202" s="56" t="s">
        <v>390</v>
      </c>
      <c r="E202" s="56">
        <v>0.60000002384185802</v>
      </c>
      <c r="F202" s="56" t="s">
        <v>292</v>
      </c>
    </row>
    <row r="203" spans="1:6" x14ac:dyDescent="0.25">
      <c r="A203" s="56" t="s">
        <v>422</v>
      </c>
      <c r="B203" s="57">
        <v>45943</v>
      </c>
      <c r="C203" s="56" t="s">
        <v>290</v>
      </c>
      <c r="D203" s="56" t="s">
        <v>342</v>
      </c>
      <c r="E203" s="56">
        <v>2</v>
      </c>
      <c r="F203" s="56" t="s">
        <v>292</v>
      </c>
    </row>
    <row r="204" spans="1:6" x14ac:dyDescent="0.25">
      <c r="A204" s="56" t="s">
        <v>422</v>
      </c>
      <c r="B204" s="57">
        <v>45943</v>
      </c>
      <c r="C204" s="56" t="s">
        <v>290</v>
      </c>
      <c r="D204" s="56" t="s">
        <v>297</v>
      </c>
      <c r="E204" s="56">
        <v>9</v>
      </c>
      <c r="F204" s="56" t="s">
        <v>292</v>
      </c>
    </row>
    <row r="205" spans="1:6" x14ac:dyDescent="0.25">
      <c r="A205" s="56" t="s">
        <v>422</v>
      </c>
      <c r="B205" s="57">
        <v>45943</v>
      </c>
      <c r="C205" s="56" t="s">
        <v>290</v>
      </c>
      <c r="D205" s="56" t="s">
        <v>423</v>
      </c>
      <c r="E205" s="56">
        <v>3</v>
      </c>
      <c r="F205" s="56" t="s">
        <v>292</v>
      </c>
    </row>
    <row r="206" spans="1:6" x14ac:dyDescent="0.25">
      <c r="A206" s="56" t="s">
        <v>171</v>
      </c>
      <c r="B206" s="57">
        <v>45945</v>
      </c>
      <c r="C206" s="56" t="s">
        <v>293</v>
      </c>
      <c r="D206" s="56" t="s">
        <v>432</v>
      </c>
      <c r="E206" s="56">
        <v>6000</v>
      </c>
      <c r="F206" s="56" t="s">
        <v>292</v>
      </c>
    </row>
    <row r="207" spans="1:6" x14ac:dyDescent="0.25">
      <c r="A207" s="56" t="s">
        <v>171</v>
      </c>
      <c r="B207" s="57">
        <v>45945</v>
      </c>
      <c r="C207" s="56" t="s">
        <v>293</v>
      </c>
      <c r="D207" s="56" t="s">
        <v>433</v>
      </c>
      <c r="E207" s="56">
        <v>3000</v>
      </c>
      <c r="F207" s="56" t="s">
        <v>292</v>
      </c>
    </row>
    <row r="208" spans="1:6" x14ac:dyDescent="0.25">
      <c r="A208" s="56" t="s">
        <v>422</v>
      </c>
      <c r="B208" s="57">
        <v>45945</v>
      </c>
      <c r="C208" s="56" t="s">
        <v>290</v>
      </c>
      <c r="D208" s="56" t="s">
        <v>427</v>
      </c>
      <c r="E208" s="56">
        <v>2</v>
      </c>
      <c r="F208" s="56" t="s">
        <v>299</v>
      </c>
    </row>
    <row r="209" spans="1:6" x14ac:dyDescent="0.25">
      <c r="A209" s="56" t="s">
        <v>422</v>
      </c>
      <c r="B209" s="57">
        <v>45945</v>
      </c>
      <c r="C209" s="56" t="s">
        <v>290</v>
      </c>
      <c r="D209" s="56" t="s">
        <v>434</v>
      </c>
      <c r="E209" s="56">
        <v>1</v>
      </c>
      <c r="F209" s="56" t="s">
        <v>292</v>
      </c>
    </row>
    <row r="210" spans="1:6" x14ac:dyDescent="0.25">
      <c r="A210" s="56" t="s">
        <v>101</v>
      </c>
      <c r="B210" s="57">
        <v>45946</v>
      </c>
      <c r="C210" s="56" t="s">
        <v>290</v>
      </c>
      <c r="D210" s="56" t="s">
        <v>435</v>
      </c>
      <c r="E210" s="56">
        <v>50</v>
      </c>
      <c r="F210" s="56" t="s">
        <v>292</v>
      </c>
    </row>
    <row r="211" spans="1:6" x14ac:dyDescent="0.25">
      <c r="A211" s="56" t="s">
        <v>67</v>
      </c>
      <c r="B211" s="57">
        <v>45946</v>
      </c>
      <c r="C211" s="56" t="s">
        <v>293</v>
      </c>
      <c r="D211" s="56" t="s">
        <v>416</v>
      </c>
      <c r="E211" s="56">
        <v>100000</v>
      </c>
      <c r="F211" s="56" t="s">
        <v>292</v>
      </c>
    </row>
    <row r="212" spans="1:6" x14ac:dyDescent="0.25">
      <c r="A212" s="56" t="s">
        <v>422</v>
      </c>
      <c r="B212" s="57">
        <v>45947</v>
      </c>
      <c r="C212" s="56" t="s">
        <v>290</v>
      </c>
      <c r="D212" s="56" t="s">
        <v>436</v>
      </c>
      <c r="E212" s="56">
        <v>53</v>
      </c>
      <c r="F212" s="56" t="s">
        <v>299</v>
      </c>
    </row>
    <row r="213" spans="1:6" x14ac:dyDescent="0.25">
      <c r="A213" s="56" t="s">
        <v>422</v>
      </c>
      <c r="B213" s="57">
        <v>45947</v>
      </c>
      <c r="C213" s="56" t="s">
        <v>290</v>
      </c>
      <c r="D213" s="56" t="s">
        <v>437</v>
      </c>
      <c r="E213" s="56">
        <v>4.4800000190734899</v>
      </c>
      <c r="F213" s="56" t="s">
        <v>292</v>
      </c>
    </row>
    <row r="214" spans="1:6" x14ac:dyDescent="0.25">
      <c r="A214" s="56" t="s">
        <v>73</v>
      </c>
      <c r="B214" s="57">
        <v>45957</v>
      </c>
      <c r="C214" s="56" t="s">
        <v>290</v>
      </c>
      <c r="D214" s="56" t="s">
        <v>346</v>
      </c>
      <c r="E214" s="56">
        <v>1</v>
      </c>
      <c r="F214" s="56" t="s">
        <v>292</v>
      </c>
    </row>
    <row r="215" spans="1:6" x14ac:dyDescent="0.25">
      <c r="A215" s="56" t="s">
        <v>162</v>
      </c>
      <c r="B215" s="57">
        <v>45960</v>
      </c>
      <c r="C215" s="56" t="s">
        <v>290</v>
      </c>
      <c r="D215" s="56" t="s">
        <v>438</v>
      </c>
      <c r="E215" s="56">
        <v>500</v>
      </c>
      <c r="F215" s="56" t="s">
        <v>292</v>
      </c>
    </row>
    <row r="216" spans="1:6" x14ac:dyDescent="0.25">
      <c r="A216" s="56" t="s">
        <v>162</v>
      </c>
      <c r="B216" s="57">
        <v>45960</v>
      </c>
      <c r="C216" s="56" t="s">
        <v>290</v>
      </c>
      <c r="D216" s="56" t="s">
        <v>439</v>
      </c>
      <c r="E216" s="56">
        <v>200</v>
      </c>
      <c r="F216" s="56" t="s">
        <v>292</v>
      </c>
    </row>
    <row r="217" spans="1:6" x14ac:dyDescent="0.25">
      <c r="A217" s="56" t="s">
        <v>422</v>
      </c>
      <c r="B217" s="57">
        <v>45960</v>
      </c>
      <c r="C217" s="56" t="s">
        <v>293</v>
      </c>
      <c r="D217" s="56" t="s">
        <v>440</v>
      </c>
      <c r="E217" s="56">
        <v>4</v>
      </c>
      <c r="F217" s="56" t="s">
        <v>292</v>
      </c>
    </row>
    <row r="218" spans="1:6" x14ac:dyDescent="0.25">
      <c r="A218" s="56" t="s">
        <v>28</v>
      </c>
      <c r="B218" s="57">
        <v>45961</v>
      </c>
      <c r="C218" s="56" t="s">
        <v>293</v>
      </c>
      <c r="D218" s="56" t="s">
        <v>441</v>
      </c>
      <c r="E218" s="56">
        <v>50</v>
      </c>
      <c r="F218" s="56" t="s">
        <v>292</v>
      </c>
    </row>
    <row r="219" spans="1:6" x14ac:dyDescent="0.25">
      <c r="A219" s="56" t="s">
        <v>73</v>
      </c>
      <c r="B219" s="57">
        <v>45972</v>
      </c>
      <c r="C219" s="56" t="s">
        <v>293</v>
      </c>
      <c r="D219" s="56" t="s">
        <v>321</v>
      </c>
      <c r="E219" s="56">
        <v>10</v>
      </c>
      <c r="F219" s="56" t="s">
        <v>292</v>
      </c>
    </row>
    <row r="220" spans="1:6" x14ac:dyDescent="0.25">
      <c r="A220" s="56" t="s">
        <v>194</v>
      </c>
      <c r="B220" s="57">
        <v>45974</v>
      </c>
      <c r="C220" s="56" t="s">
        <v>290</v>
      </c>
      <c r="D220" s="56" t="s">
        <v>442</v>
      </c>
      <c r="E220" s="56">
        <v>100</v>
      </c>
      <c r="F220" s="56" t="s">
        <v>292</v>
      </c>
    </row>
    <row r="221" spans="1:6" x14ac:dyDescent="0.25">
      <c r="A221" s="56" t="s">
        <v>67</v>
      </c>
      <c r="B221" s="57">
        <v>45974</v>
      </c>
      <c r="C221" s="56" t="s">
        <v>290</v>
      </c>
      <c r="D221" s="56" t="s">
        <v>401</v>
      </c>
      <c r="E221" s="56">
        <v>10000</v>
      </c>
      <c r="F221" s="56" t="s">
        <v>292</v>
      </c>
    </row>
    <row r="222" spans="1:6" x14ac:dyDescent="0.25">
      <c r="A222" s="56" t="s">
        <v>194</v>
      </c>
      <c r="B222" s="57">
        <v>45975</v>
      </c>
      <c r="C222" s="56" t="s">
        <v>293</v>
      </c>
      <c r="D222" s="56" t="s">
        <v>443</v>
      </c>
      <c r="E222" s="56">
        <v>262</v>
      </c>
      <c r="F222" s="56" t="s">
        <v>292</v>
      </c>
    </row>
    <row r="223" spans="1:6" x14ac:dyDescent="0.25">
      <c r="A223" s="56" t="s">
        <v>17</v>
      </c>
      <c r="B223" s="57">
        <v>45981</v>
      </c>
      <c r="C223" s="56" t="s">
        <v>293</v>
      </c>
      <c r="D223" s="56" t="s">
        <v>444</v>
      </c>
      <c r="E223" s="56">
        <v>10000</v>
      </c>
      <c r="F223" s="56" t="s">
        <v>299</v>
      </c>
    </row>
    <row r="224" spans="1:6" x14ac:dyDescent="0.25">
      <c r="A224" s="56" t="s">
        <v>17</v>
      </c>
      <c r="B224" s="57">
        <v>45981</v>
      </c>
      <c r="C224" s="56" t="s">
        <v>293</v>
      </c>
      <c r="D224" s="56" t="s">
        <v>445</v>
      </c>
      <c r="E224" s="56">
        <v>10000</v>
      </c>
      <c r="F224" s="56" t="s">
        <v>299</v>
      </c>
    </row>
    <row r="225" spans="1:6" x14ac:dyDescent="0.25">
      <c r="A225" s="56" t="s">
        <v>17</v>
      </c>
      <c r="B225" s="57">
        <v>45981</v>
      </c>
      <c r="C225" s="56" t="s">
        <v>293</v>
      </c>
      <c r="D225" s="56" t="s">
        <v>446</v>
      </c>
      <c r="E225" s="56">
        <v>10000</v>
      </c>
      <c r="F225" s="56" t="s">
        <v>299</v>
      </c>
    </row>
    <row r="226" spans="1:6" x14ac:dyDescent="0.25">
      <c r="A226" s="56" t="s">
        <v>17</v>
      </c>
      <c r="B226" s="57">
        <v>45982</v>
      </c>
      <c r="C226" s="56" t="s">
        <v>293</v>
      </c>
      <c r="D226" s="56" t="s">
        <v>446</v>
      </c>
      <c r="E226" s="56">
        <v>100</v>
      </c>
      <c r="F226" s="56" t="s">
        <v>292</v>
      </c>
    </row>
    <row r="227" spans="1:6" x14ac:dyDescent="0.25">
      <c r="A227" s="56" t="s">
        <v>17</v>
      </c>
      <c r="B227" s="57">
        <v>45982</v>
      </c>
      <c r="C227" s="56" t="s">
        <v>293</v>
      </c>
      <c r="D227" s="56" t="s">
        <v>444</v>
      </c>
      <c r="E227" s="56">
        <v>52</v>
      </c>
      <c r="F227" s="56" t="s">
        <v>292</v>
      </c>
    </row>
    <row r="228" spans="1:6" x14ac:dyDescent="0.25">
      <c r="A228" s="56" t="s">
        <v>17</v>
      </c>
      <c r="B228" s="57">
        <v>45982</v>
      </c>
      <c r="C228" s="56" t="s">
        <v>293</v>
      </c>
      <c r="D228" s="56" t="s">
        <v>447</v>
      </c>
      <c r="E228" s="56">
        <v>6800</v>
      </c>
      <c r="F228" s="56" t="s">
        <v>292</v>
      </c>
    </row>
    <row r="229" spans="1:6" x14ac:dyDescent="0.25">
      <c r="A229" s="56" t="s">
        <v>67</v>
      </c>
      <c r="B229" s="57">
        <v>45985</v>
      </c>
      <c r="C229" s="56" t="s">
        <v>290</v>
      </c>
      <c r="D229" s="56" t="s">
        <v>401</v>
      </c>
      <c r="E229" s="56">
        <v>10000</v>
      </c>
      <c r="F229" s="56" t="s">
        <v>292</v>
      </c>
    </row>
    <row r="230" spans="1:6" x14ac:dyDescent="0.25">
      <c r="A230" s="56" t="s">
        <v>222</v>
      </c>
      <c r="B230" s="57">
        <v>45987</v>
      </c>
      <c r="C230" s="56" t="s">
        <v>290</v>
      </c>
      <c r="D230" s="56" t="s">
        <v>448</v>
      </c>
      <c r="E230" s="56">
        <v>600</v>
      </c>
      <c r="F230" s="56" t="s">
        <v>292</v>
      </c>
    </row>
    <row r="231" spans="1:6" x14ac:dyDescent="0.25">
      <c r="A231" s="56" t="s">
        <v>17</v>
      </c>
      <c r="B231" s="57">
        <v>45987</v>
      </c>
      <c r="C231" s="56" t="s">
        <v>293</v>
      </c>
      <c r="D231" s="56" t="s">
        <v>449</v>
      </c>
      <c r="E231" s="56">
        <v>47000</v>
      </c>
      <c r="F231" s="56" t="s">
        <v>292</v>
      </c>
    </row>
    <row r="232" spans="1:6" x14ac:dyDescent="0.25">
      <c r="A232" s="56" t="s">
        <v>171</v>
      </c>
      <c r="B232" s="57">
        <v>45987</v>
      </c>
      <c r="C232" s="56" t="s">
        <v>293</v>
      </c>
      <c r="D232" s="56" t="s">
        <v>450</v>
      </c>
      <c r="E232" s="56">
        <v>2000</v>
      </c>
      <c r="F232" s="56" t="s">
        <v>292</v>
      </c>
    </row>
    <row r="233" spans="1:6" x14ac:dyDescent="0.25">
      <c r="A233" s="72" t="s">
        <v>17</v>
      </c>
      <c r="B233" s="57">
        <v>45993</v>
      </c>
      <c r="C233" s="72" t="s">
        <v>293</v>
      </c>
      <c r="D233" s="72" t="s">
        <v>451</v>
      </c>
      <c r="E233" s="72">
        <v>2500</v>
      </c>
      <c r="F233" s="72" t="s">
        <v>292</v>
      </c>
    </row>
    <row r="234" spans="1:6" x14ac:dyDescent="0.25">
      <c r="A234" s="72" t="s">
        <v>17</v>
      </c>
      <c r="B234" s="57">
        <v>45993</v>
      </c>
      <c r="C234" s="72" t="s">
        <v>290</v>
      </c>
      <c r="D234" s="72" t="s">
        <v>452</v>
      </c>
      <c r="E234" s="72">
        <v>210</v>
      </c>
      <c r="F234" s="72" t="s">
        <v>292</v>
      </c>
    </row>
    <row r="235" spans="1:6" x14ac:dyDescent="0.25">
      <c r="A235" s="72" t="s">
        <v>58</v>
      </c>
      <c r="B235" s="57">
        <v>45996</v>
      </c>
      <c r="C235" s="72" t="s">
        <v>290</v>
      </c>
      <c r="D235" s="72" t="s">
        <v>453</v>
      </c>
      <c r="E235" s="72">
        <v>480</v>
      </c>
      <c r="F235" s="72" t="s">
        <v>292</v>
      </c>
    </row>
    <row r="236" spans="1:6" x14ac:dyDescent="0.25">
      <c r="A236" s="72" t="s">
        <v>58</v>
      </c>
      <c r="B236" s="57">
        <v>45996</v>
      </c>
      <c r="C236" s="72" t="s">
        <v>290</v>
      </c>
      <c r="D236" s="72" t="s">
        <v>454</v>
      </c>
      <c r="E236" s="72">
        <v>150</v>
      </c>
      <c r="F236" s="72" t="s">
        <v>292</v>
      </c>
    </row>
    <row r="237" spans="1:6" x14ac:dyDescent="0.25">
      <c r="A237" s="72" t="s">
        <v>58</v>
      </c>
      <c r="B237" s="57">
        <v>45996</v>
      </c>
      <c r="C237" s="72" t="s">
        <v>290</v>
      </c>
      <c r="D237" s="72" t="s">
        <v>455</v>
      </c>
      <c r="E237" s="72">
        <v>30</v>
      </c>
      <c r="F237" s="72" t="s">
        <v>292</v>
      </c>
    </row>
    <row r="238" spans="1:6" x14ac:dyDescent="0.25">
      <c r="A238" s="72" t="s">
        <v>73</v>
      </c>
      <c r="B238" s="57">
        <v>46001</v>
      </c>
      <c r="C238" s="72" t="s">
        <v>293</v>
      </c>
      <c r="D238" s="72" t="s">
        <v>456</v>
      </c>
      <c r="E238" s="72">
        <v>10</v>
      </c>
      <c r="F238" s="72" t="s">
        <v>292</v>
      </c>
    </row>
    <row r="239" spans="1:6" x14ac:dyDescent="0.25">
      <c r="A239" s="72" t="s">
        <v>73</v>
      </c>
      <c r="B239" s="57">
        <v>46001</v>
      </c>
      <c r="C239" s="72" t="s">
        <v>290</v>
      </c>
      <c r="D239" s="72" t="s">
        <v>341</v>
      </c>
      <c r="E239" s="72">
        <v>200</v>
      </c>
      <c r="F239" s="72" t="s">
        <v>292</v>
      </c>
    </row>
    <row r="240" spans="1:6" x14ac:dyDescent="0.25">
      <c r="A240" s="72" t="s">
        <v>171</v>
      </c>
      <c r="B240" s="57">
        <v>46002</v>
      </c>
      <c r="C240" s="72" t="s">
        <v>293</v>
      </c>
      <c r="D240" s="72" t="s">
        <v>457</v>
      </c>
      <c r="E240" s="72">
        <v>3000</v>
      </c>
      <c r="F240" s="72" t="s">
        <v>292</v>
      </c>
    </row>
    <row r="241" spans="1:6" x14ac:dyDescent="0.25">
      <c r="A241" s="72" t="s">
        <v>194</v>
      </c>
      <c r="B241" s="57">
        <v>46006</v>
      </c>
      <c r="C241" s="72" t="s">
        <v>293</v>
      </c>
      <c r="D241" s="72" t="s">
        <v>458</v>
      </c>
      <c r="E241" s="72">
        <v>107</v>
      </c>
      <c r="F241" s="72" t="s">
        <v>292</v>
      </c>
    </row>
    <row r="242" spans="1:6" x14ac:dyDescent="0.25">
      <c r="A242" s="72" t="s">
        <v>194</v>
      </c>
      <c r="B242" s="57">
        <v>46006</v>
      </c>
      <c r="C242" s="72" t="s">
        <v>290</v>
      </c>
      <c r="D242" s="72" t="s">
        <v>459</v>
      </c>
      <c r="E242" s="72">
        <v>4</v>
      </c>
      <c r="F242" s="72" t="s">
        <v>292</v>
      </c>
    </row>
    <row r="243" spans="1:6" x14ac:dyDescent="0.25">
      <c r="A243" s="72" t="s">
        <v>194</v>
      </c>
      <c r="B243" s="57">
        <v>46022</v>
      </c>
      <c r="C243" s="72" t="s">
        <v>293</v>
      </c>
      <c r="D243" s="72" t="s">
        <v>460</v>
      </c>
      <c r="E243" s="72">
        <v>68</v>
      </c>
      <c r="F243" s="72" t="s">
        <v>292</v>
      </c>
    </row>
    <row r="244" spans="1:6" x14ac:dyDescent="0.25">
      <c r="A244" s="72" t="s">
        <v>194</v>
      </c>
      <c r="B244" s="57">
        <v>46022</v>
      </c>
      <c r="C244" s="72" t="s">
        <v>290</v>
      </c>
      <c r="D244" s="72" t="s">
        <v>461</v>
      </c>
      <c r="E244" s="72">
        <v>20</v>
      </c>
      <c r="F244" s="72" t="s">
        <v>292</v>
      </c>
    </row>
    <row r="245" spans="1:6" x14ac:dyDescent="0.25">
      <c r="B245" s="57"/>
    </row>
    <row r="246" spans="1:6" x14ac:dyDescent="0.25">
      <c r="B246" s="57"/>
    </row>
    <row r="247" spans="1:6" x14ac:dyDescent="0.25">
      <c r="B247" s="57"/>
    </row>
    <row r="248" spans="1:6" x14ac:dyDescent="0.25">
      <c r="B248" s="57"/>
    </row>
    <row r="249" spans="1:6" x14ac:dyDescent="0.25">
      <c r="B249" s="57"/>
    </row>
  </sheetData>
  <autoFilter ref="A1:F244" xr:uid="{00000000-0001-0000-0000-000000000000}">
    <sortState xmlns:xlrd2="http://schemas.microsoft.com/office/spreadsheetml/2017/richdata2" ref="A2:F232">
      <sortCondition ref="B2:B232"/>
    </sortState>
  </autoFilter>
  <pageMargins left="0.75" right="0.75" top="1" bottom="1" header="0.5" footer="0.5"/>
  <headerFooter alignWithMargins="0">
    <oddFooter>&amp;L_x000D_&amp;1#&amp;"Aptos"&amp;12&amp;K000000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CE1EA-AD31-421D-8E92-C8744C973E47}">
  <dimension ref="A3:Z63"/>
  <sheetViews>
    <sheetView topLeftCell="Q1" workbookViewId="0">
      <selection activeCell="V42" sqref="V42"/>
    </sheetView>
  </sheetViews>
  <sheetFormatPr defaultRowHeight="15" x14ac:dyDescent="0.25"/>
  <cols>
    <col min="1" max="1" width="24.42578125" bestFit="1" customWidth="1"/>
    <col min="2" max="2" width="21.140625" bestFit="1" customWidth="1"/>
    <col min="3" max="3" width="13.5703125" bestFit="1" customWidth="1"/>
    <col min="4" max="4" width="19.140625" bestFit="1" customWidth="1"/>
    <col min="5" max="5" width="13.5703125" bestFit="1" customWidth="1"/>
    <col min="6" max="6" width="11.85546875" bestFit="1" customWidth="1"/>
    <col min="7" max="7" width="22.5703125" bestFit="1" customWidth="1"/>
    <col min="8" max="8" width="9.85546875" bestFit="1" customWidth="1"/>
    <col min="10" max="10" width="15.5703125" bestFit="1" customWidth="1"/>
    <col min="11" max="11" width="15.140625" bestFit="1" customWidth="1"/>
    <col min="12" max="12" width="11.140625" bestFit="1" customWidth="1"/>
    <col min="13" max="13" width="13.28515625" bestFit="1" customWidth="1"/>
    <col min="14" max="14" width="18.85546875" bestFit="1" customWidth="1"/>
    <col min="15" max="15" width="14.42578125" bestFit="1" customWidth="1"/>
    <col min="16" max="16" width="11.7109375" bestFit="1" customWidth="1"/>
    <col min="17" max="17" width="10.85546875" bestFit="1" customWidth="1"/>
    <col min="18" max="18" width="22.5703125" bestFit="1" customWidth="1"/>
    <col min="19" max="19" width="19.140625" bestFit="1" customWidth="1"/>
    <col min="20" max="20" width="11.140625" bestFit="1" customWidth="1"/>
    <col min="21" max="21" width="12.85546875" bestFit="1" customWidth="1"/>
    <col min="22" max="22" width="8.28515625" bestFit="1" customWidth="1"/>
    <col min="23" max="23" width="21.7109375" bestFit="1" customWidth="1"/>
    <col min="24" max="24" width="9.85546875" bestFit="1" customWidth="1"/>
    <col min="25" max="25" width="10.5703125" bestFit="1" customWidth="1"/>
    <col min="26" max="26" width="11.28515625" bestFit="1" customWidth="1"/>
  </cols>
  <sheetData>
    <row r="3" spans="1:26" x14ac:dyDescent="0.25">
      <c r="A3" s="70" t="s">
        <v>462</v>
      </c>
      <c r="B3" t="s">
        <v>463</v>
      </c>
    </row>
    <row r="4" spans="1:26" x14ac:dyDescent="0.25">
      <c r="A4" s="71" t="s">
        <v>336</v>
      </c>
      <c r="B4">
        <v>12</v>
      </c>
      <c r="D4" t="s">
        <v>464</v>
      </c>
    </row>
    <row r="5" spans="1:26" x14ac:dyDescent="0.25">
      <c r="A5" s="71" t="s">
        <v>17</v>
      </c>
      <c r="B5">
        <v>16</v>
      </c>
      <c r="D5" t="s">
        <v>465</v>
      </c>
    </row>
    <row r="6" spans="1:26" x14ac:dyDescent="0.25">
      <c r="A6" s="71" t="s">
        <v>222</v>
      </c>
      <c r="B6">
        <v>1</v>
      </c>
      <c r="D6" t="s">
        <v>466</v>
      </c>
    </row>
    <row r="7" spans="1:26" x14ac:dyDescent="0.25">
      <c r="A7" s="71" t="s">
        <v>141</v>
      </c>
      <c r="B7">
        <v>1</v>
      </c>
      <c r="D7" t="s">
        <v>466</v>
      </c>
      <c r="R7" t="s">
        <v>229</v>
      </c>
      <c r="S7" t="s">
        <v>467</v>
      </c>
      <c r="T7" t="s">
        <v>468</v>
      </c>
    </row>
    <row r="8" spans="1:26" x14ac:dyDescent="0.25">
      <c r="A8" s="71" t="s">
        <v>28</v>
      </c>
      <c r="B8">
        <v>11</v>
      </c>
      <c r="D8" t="s">
        <v>469</v>
      </c>
      <c r="R8" s="97" t="s">
        <v>336</v>
      </c>
      <c r="S8" t="s">
        <v>464</v>
      </c>
      <c r="T8">
        <v>12</v>
      </c>
      <c r="Y8" t="s">
        <v>464</v>
      </c>
      <c r="Z8">
        <v>47</v>
      </c>
    </row>
    <row r="9" spans="1:26" x14ac:dyDescent="0.25">
      <c r="A9" s="71" t="s">
        <v>25</v>
      </c>
      <c r="B9">
        <v>1</v>
      </c>
      <c r="D9" t="s">
        <v>470</v>
      </c>
      <c r="R9" s="97" t="s">
        <v>17</v>
      </c>
      <c r="S9" t="s">
        <v>465</v>
      </c>
      <c r="T9">
        <v>16</v>
      </c>
      <c r="Y9" t="s">
        <v>465</v>
      </c>
      <c r="Z9">
        <v>36</v>
      </c>
    </row>
    <row r="10" spans="1:26" x14ac:dyDescent="0.25">
      <c r="A10" s="71" t="s">
        <v>171</v>
      </c>
      <c r="B10">
        <v>25</v>
      </c>
      <c r="D10" t="s">
        <v>471</v>
      </c>
      <c r="R10" s="97" t="s">
        <v>222</v>
      </c>
      <c r="S10" t="s">
        <v>466</v>
      </c>
      <c r="T10">
        <v>1</v>
      </c>
      <c r="Y10" t="s">
        <v>466</v>
      </c>
      <c r="Z10">
        <v>2</v>
      </c>
    </row>
    <row r="11" spans="1:26" x14ac:dyDescent="0.25">
      <c r="A11" s="71" t="s">
        <v>31</v>
      </c>
      <c r="B11">
        <v>2</v>
      </c>
      <c r="D11" t="s">
        <v>472</v>
      </c>
      <c r="R11" s="97" t="s">
        <v>141</v>
      </c>
      <c r="S11" t="s">
        <v>466</v>
      </c>
      <c r="T11">
        <v>1</v>
      </c>
      <c r="Y11" t="s">
        <v>469</v>
      </c>
      <c r="Z11">
        <v>53</v>
      </c>
    </row>
    <row r="12" spans="1:26" x14ac:dyDescent="0.25">
      <c r="A12" s="71" t="s">
        <v>385</v>
      </c>
      <c r="B12">
        <v>6</v>
      </c>
      <c r="D12" t="s">
        <v>469</v>
      </c>
      <c r="R12" s="97" t="s">
        <v>28</v>
      </c>
      <c r="S12" t="s">
        <v>469</v>
      </c>
      <c r="T12">
        <v>11</v>
      </c>
      <c r="Y12" t="s">
        <v>470</v>
      </c>
      <c r="Z12">
        <v>8</v>
      </c>
    </row>
    <row r="13" spans="1:26" x14ac:dyDescent="0.25">
      <c r="A13" s="71" t="s">
        <v>58</v>
      </c>
      <c r="B13">
        <v>6</v>
      </c>
      <c r="D13" t="s">
        <v>470</v>
      </c>
      <c r="R13" s="97" t="s">
        <v>25</v>
      </c>
      <c r="S13" t="s">
        <v>470</v>
      </c>
      <c r="T13">
        <v>1</v>
      </c>
      <c r="Y13" t="s">
        <v>471</v>
      </c>
      <c r="Z13">
        <v>47</v>
      </c>
    </row>
    <row r="14" spans="1:26" x14ac:dyDescent="0.25">
      <c r="A14" s="71" t="s">
        <v>376</v>
      </c>
      <c r="B14">
        <v>2</v>
      </c>
      <c r="D14" t="s">
        <v>472</v>
      </c>
      <c r="R14" s="97" t="s">
        <v>171</v>
      </c>
      <c r="S14" t="s">
        <v>471</v>
      </c>
      <c r="T14">
        <v>25</v>
      </c>
      <c r="Y14" t="s">
        <v>472</v>
      </c>
      <c r="Z14">
        <v>38</v>
      </c>
    </row>
    <row r="15" spans="1:26" x14ac:dyDescent="0.25">
      <c r="A15" s="71" t="s">
        <v>67</v>
      </c>
      <c r="B15">
        <v>36</v>
      </c>
      <c r="D15" t="s">
        <v>469</v>
      </c>
      <c r="R15" s="97" t="s">
        <v>31</v>
      </c>
      <c r="S15" t="s">
        <v>472</v>
      </c>
      <c r="T15">
        <v>2</v>
      </c>
      <c r="Y15" t="s">
        <v>473</v>
      </c>
      <c r="Z15">
        <v>4</v>
      </c>
    </row>
    <row r="16" spans="1:26" x14ac:dyDescent="0.25">
      <c r="A16" s="71" t="s">
        <v>73</v>
      </c>
      <c r="B16">
        <v>34</v>
      </c>
      <c r="D16" t="s">
        <v>464</v>
      </c>
      <c r="R16" s="97" t="s">
        <v>385</v>
      </c>
      <c r="S16" t="s">
        <v>469</v>
      </c>
      <c r="T16">
        <v>6</v>
      </c>
      <c r="Y16" t="s">
        <v>474</v>
      </c>
      <c r="Z16">
        <v>6</v>
      </c>
    </row>
    <row r="17" spans="1:26" x14ac:dyDescent="0.25">
      <c r="A17" s="71" t="s">
        <v>189</v>
      </c>
      <c r="B17">
        <v>1</v>
      </c>
      <c r="D17" t="s">
        <v>464</v>
      </c>
      <c r="R17" s="97" t="s">
        <v>58</v>
      </c>
      <c r="S17" t="s">
        <v>470</v>
      </c>
      <c r="T17">
        <v>6</v>
      </c>
      <c r="Y17" t="s">
        <v>475</v>
      </c>
      <c r="Z17">
        <v>2</v>
      </c>
    </row>
    <row r="18" spans="1:26" x14ac:dyDescent="0.25">
      <c r="A18" s="71" t="s">
        <v>77</v>
      </c>
      <c r="B18">
        <v>2</v>
      </c>
      <c r="D18" t="s">
        <v>472</v>
      </c>
      <c r="R18" s="97" t="s">
        <v>376</v>
      </c>
      <c r="S18" t="s">
        <v>472</v>
      </c>
      <c r="T18">
        <v>2</v>
      </c>
      <c r="Z18">
        <f>SUM(Z8:Z17)</f>
        <v>243</v>
      </c>
    </row>
    <row r="19" spans="1:26" x14ac:dyDescent="0.25">
      <c r="A19" s="71" t="s">
        <v>85</v>
      </c>
      <c r="B19">
        <v>4</v>
      </c>
      <c r="D19" t="s">
        <v>473</v>
      </c>
      <c r="R19" s="97" t="s">
        <v>67</v>
      </c>
      <c r="S19" t="s">
        <v>469</v>
      </c>
      <c r="T19">
        <v>36</v>
      </c>
    </row>
    <row r="20" spans="1:26" x14ac:dyDescent="0.25">
      <c r="A20" s="71" t="s">
        <v>98</v>
      </c>
      <c r="B20">
        <v>12</v>
      </c>
      <c r="D20" t="s">
        <v>472</v>
      </c>
      <c r="R20" s="97" t="s">
        <v>73</v>
      </c>
      <c r="S20" t="s">
        <v>464</v>
      </c>
      <c r="T20">
        <v>34</v>
      </c>
    </row>
    <row r="21" spans="1:26" x14ac:dyDescent="0.25">
      <c r="A21" s="71" t="s">
        <v>101</v>
      </c>
      <c r="B21">
        <v>1</v>
      </c>
      <c r="D21" t="s">
        <v>470</v>
      </c>
      <c r="R21" s="97" t="s">
        <v>189</v>
      </c>
      <c r="S21" t="s">
        <v>464</v>
      </c>
      <c r="T21">
        <v>1</v>
      </c>
    </row>
    <row r="22" spans="1:26" x14ac:dyDescent="0.25">
      <c r="A22" s="71" t="s">
        <v>194</v>
      </c>
      <c r="B22">
        <v>6</v>
      </c>
      <c r="D22" t="s">
        <v>474</v>
      </c>
      <c r="R22" s="97" t="s">
        <v>77</v>
      </c>
      <c r="S22" t="s">
        <v>472</v>
      </c>
      <c r="T22">
        <v>2</v>
      </c>
    </row>
    <row r="23" spans="1:26" x14ac:dyDescent="0.25">
      <c r="A23" s="71" t="s">
        <v>422</v>
      </c>
      <c r="B23">
        <v>14</v>
      </c>
      <c r="D23" t="s">
        <v>472</v>
      </c>
      <c r="R23" s="97" t="s">
        <v>85</v>
      </c>
      <c r="S23" t="s">
        <v>473</v>
      </c>
      <c r="T23">
        <v>4</v>
      </c>
    </row>
    <row r="24" spans="1:26" x14ac:dyDescent="0.25">
      <c r="A24" s="71" t="s">
        <v>109</v>
      </c>
      <c r="B24">
        <v>14</v>
      </c>
      <c r="D24" t="s">
        <v>465</v>
      </c>
      <c r="R24" s="97" t="s">
        <v>98</v>
      </c>
      <c r="S24" t="s">
        <v>472</v>
      </c>
      <c r="T24">
        <v>12</v>
      </c>
    </row>
    <row r="25" spans="1:26" x14ac:dyDescent="0.25">
      <c r="A25" s="71" t="s">
        <v>113</v>
      </c>
      <c r="B25">
        <v>2</v>
      </c>
      <c r="D25" t="s">
        <v>465</v>
      </c>
      <c r="R25" s="97" t="s">
        <v>101</v>
      </c>
      <c r="S25" t="s">
        <v>470</v>
      </c>
      <c r="T25">
        <v>1</v>
      </c>
    </row>
    <row r="26" spans="1:26" x14ac:dyDescent="0.25">
      <c r="A26" s="71" t="s">
        <v>162</v>
      </c>
      <c r="B26">
        <v>2</v>
      </c>
      <c r="D26" t="s">
        <v>475</v>
      </c>
      <c r="R26" s="97" t="s">
        <v>194</v>
      </c>
      <c r="S26" t="s">
        <v>474</v>
      </c>
      <c r="T26">
        <v>6</v>
      </c>
    </row>
    <row r="27" spans="1:26" x14ac:dyDescent="0.25">
      <c r="A27" s="71" t="s">
        <v>124</v>
      </c>
      <c r="B27">
        <v>4</v>
      </c>
      <c r="D27" t="s">
        <v>471</v>
      </c>
      <c r="R27" s="97" t="s">
        <v>422</v>
      </c>
      <c r="S27" t="s">
        <v>472</v>
      </c>
      <c r="T27">
        <v>14</v>
      </c>
    </row>
    <row r="28" spans="1:26" x14ac:dyDescent="0.25">
      <c r="A28" s="71" t="s">
        <v>126</v>
      </c>
      <c r="B28">
        <v>15</v>
      </c>
      <c r="D28" t="s">
        <v>471</v>
      </c>
      <c r="R28" s="97" t="s">
        <v>109</v>
      </c>
      <c r="S28" t="s">
        <v>465</v>
      </c>
      <c r="T28">
        <v>14</v>
      </c>
    </row>
    <row r="29" spans="1:26" x14ac:dyDescent="0.25">
      <c r="A29" s="71" t="s">
        <v>263</v>
      </c>
      <c r="B29">
        <v>4</v>
      </c>
      <c r="D29" t="s">
        <v>465</v>
      </c>
      <c r="R29" s="97" t="s">
        <v>113</v>
      </c>
      <c r="S29" t="s">
        <v>465</v>
      </c>
      <c r="T29">
        <v>2</v>
      </c>
    </row>
    <row r="30" spans="1:26" x14ac:dyDescent="0.25">
      <c r="A30" s="71" t="s">
        <v>131</v>
      </c>
      <c r="B30">
        <v>6</v>
      </c>
      <c r="D30" t="s">
        <v>472</v>
      </c>
      <c r="R30" s="97" t="s">
        <v>162</v>
      </c>
      <c r="S30" t="s">
        <v>475</v>
      </c>
      <c r="T30">
        <v>2</v>
      </c>
    </row>
    <row r="31" spans="1:26" x14ac:dyDescent="0.25">
      <c r="A31" s="71" t="s">
        <v>134</v>
      </c>
      <c r="B31">
        <v>3</v>
      </c>
      <c r="D31" t="s">
        <v>471</v>
      </c>
      <c r="R31" s="97" t="s">
        <v>124</v>
      </c>
      <c r="S31" t="s">
        <v>471</v>
      </c>
      <c r="T31">
        <v>4</v>
      </c>
    </row>
    <row r="32" spans="1:26" x14ac:dyDescent="0.25">
      <c r="A32" s="71" t="s">
        <v>476</v>
      </c>
      <c r="B32">
        <v>243</v>
      </c>
      <c r="R32" s="97" t="s">
        <v>126</v>
      </c>
      <c r="S32" t="s">
        <v>471</v>
      </c>
      <c r="T32">
        <v>15</v>
      </c>
    </row>
    <row r="33" spans="18:20" x14ac:dyDescent="0.25">
      <c r="R33" s="97" t="s">
        <v>263</v>
      </c>
      <c r="S33" t="s">
        <v>465</v>
      </c>
      <c r="T33">
        <v>4</v>
      </c>
    </row>
    <row r="34" spans="18:20" x14ac:dyDescent="0.25">
      <c r="R34" s="97" t="s">
        <v>131</v>
      </c>
      <c r="S34" t="s">
        <v>472</v>
      </c>
      <c r="T34">
        <v>6</v>
      </c>
    </row>
    <row r="35" spans="18:20" x14ac:dyDescent="0.25">
      <c r="R35" s="97" t="s">
        <v>134</v>
      </c>
      <c r="S35" t="s">
        <v>471</v>
      </c>
      <c r="T35">
        <v>3</v>
      </c>
    </row>
    <row r="36" spans="18:20" x14ac:dyDescent="0.25">
      <c r="R36" s="98" t="s">
        <v>476</v>
      </c>
      <c r="T36">
        <f>SUM(T8:T35)</f>
        <v>243</v>
      </c>
    </row>
    <row r="50" spans="1:2" x14ac:dyDescent="0.25">
      <c r="A50" s="70" t="s">
        <v>462</v>
      </c>
      <c r="B50" t="s">
        <v>463</v>
      </c>
    </row>
    <row r="51" spans="1:2" x14ac:dyDescent="0.25">
      <c r="A51" s="71" t="s">
        <v>4</v>
      </c>
      <c r="B51">
        <v>19</v>
      </c>
    </row>
    <row r="52" spans="1:2" x14ac:dyDescent="0.25">
      <c r="A52" s="71" t="s">
        <v>5</v>
      </c>
      <c r="B52">
        <v>24</v>
      </c>
    </row>
    <row r="53" spans="1:2" x14ac:dyDescent="0.25">
      <c r="A53" s="71" t="s">
        <v>6</v>
      </c>
      <c r="B53">
        <v>12</v>
      </c>
    </row>
    <row r="54" spans="1:2" x14ac:dyDescent="0.25">
      <c r="A54" s="71" t="s">
        <v>7</v>
      </c>
      <c r="B54">
        <v>22</v>
      </c>
    </row>
    <row r="55" spans="1:2" x14ac:dyDescent="0.25">
      <c r="A55" s="71" t="s">
        <v>8</v>
      </c>
      <c r="B55">
        <v>14</v>
      </c>
    </row>
    <row r="56" spans="1:2" x14ac:dyDescent="0.25">
      <c r="A56" s="71" t="s">
        <v>9</v>
      </c>
      <c r="B56">
        <v>10</v>
      </c>
    </row>
    <row r="57" spans="1:2" x14ac:dyDescent="0.25">
      <c r="A57" s="71" t="s">
        <v>10</v>
      </c>
      <c r="B57">
        <v>24</v>
      </c>
    </row>
    <row r="58" spans="1:2" x14ac:dyDescent="0.25">
      <c r="A58" s="71" t="s">
        <v>11</v>
      </c>
      <c r="B58">
        <v>32</v>
      </c>
    </row>
    <row r="59" spans="1:2" x14ac:dyDescent="0.25">
      <c r="A59" s="71" t="s">
        <v>249</v>
      </c>
      <c r="B59">
        <v>37</v>
      </c>
    </row>
    <row r="60" spans="1:2" x14ac:dyDescent="0.25">
      <c r="A60" s="71" t="s">
        <v>13</v>
      </c>
      <c r="B60">
        <v>23</v>
      </c>
    </row>
    <row r="61" spans="1:2" x14ac:dyDescent="0.25">
      <c r="A61" s="71" t="s">
        <v>14</v>
      </c>
      <c r="B61">
        <v>14</v>
      </c>
    </row>
    <row r="62" spans="1:2" x14ac:dyDescent="0.25">
      <c r="A62" s="71" t="s">
        <v>15</v>
      </c>
      <c r="B62">
        <v>12</v>
      </c>
    </row>
    <row r="63" spans="1:2" x14ac:dyDescent="0.25">
      <c r="A63" s="71" t="s">
        <v>476</v>
      </c>
      <c r="B63">
        <v>243</v>
      </c>
    </row>
  </sheetData>
  <autoFilter ref="R7:T36" xr:uid="{289CE1EA-AD31-421D-8E92-C8744C973E47}"/>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D93F0-5633-4FF9-AAA8-794E54308610}">
  <dimension ref="B2:J101"/>
  <sheetViews>
    <sheetView workbookViewId="0">
      <selection activeCell="C32" sqref="C32"/>
    </sheetView>
  </sheetViews>
  <sheetFormatPr defaultRowHeight="15" x14ac:dyDescent="0.25"/>
  <cols>
    <col min="2" max="2" width="33.28515625" bestFit="1" customWidth="1"/>
    <col min="3" max="3" width="33.28515625" customWidth="1"/>
    <col min="4" max="4" width="9.85546875" customWidth="1"/>
    <col min="5" max="5" width="37.42578125" bestFit="1" customWidth="1"/>
    <col min="6" max="6" width="20.7109375" bestFit="1" customWidth="1"/>
    <col min="8" max="8" width="26.85546875" bestFit="1" customWidth="1"/>
    <col min="9" max="9" width="44.7109375" bestFit="1" customWidth="1"/>
    <col min="10" max="10" width="20.7109375" bestFit="1" customWidth="1"/>
  </cols>
  <sheetData>
    <row r="2" spans="2:10" x14ac:dyDescent="0.25">
      <c r="B2" t="s">
        <v>477</v>
      </c>
      <c r="D2" s="46" t="s">
        <v>478</v>
      </c>
      <c r="E2" t="s">
        <v>479</v>
      </c>
      <c r="F2" t="s">
        <v>480</v>
      </c>
      <c r="H2" s="35" t="s">
        <v>0</v>
      </c>
      <c r="I2" s="35" t="s">
        <v>2</v>
      </c>
      <c r="J2" s="35" t="s">
        <v>3</v>
      </c>
    </row>
    <row r="3" spans="2:10" x14ac:dyDescent="0.25">
      <c r="B3" s="78" t="s">
        <v>481</v>
      </c>
      <c r="C3" s="96"/>
      <c r="D3" s="28">
        <v>1</v>
      </c>
      <c r="E3" s="95" t="s">
        <v>17</v>
      </c>
      <c r="F3" s="28">
        <v>3</v>
      </c>
      <c r="H3" s="33" t="s">
        <v>17</v>
      </c>
      <c r="I3" s="4" t="s">
        <v>19</v>
      </c>
      <c r="J3" s="5" t="s">
        <v>20</v>
      </c>
    </row>
    <row r="4" spans="2:10" x14ac:dyDescent="0.25">
      <c r="B4" s="79" t="s">
        <v>482</v>
      </c>
      <c r="C4" s="96"/>
      <c r="D4" s="28">
        <v>2</v>
      </c>
      <c r="E4" s="71" t="s">
        <v>222</v>
      </c>
      <c r="F4" s="28">
        <v>1</v>
      </c>
      <c r="H4" s="76"/>
      <c r="I4" s="4" t="s">
        <v>22</v>
      </c>
      <c r="J4" s="5">
        <v>504324</v>
      </c>
    </row>
    <row r="5" spans="2:10" x14ac:dyDescent="0.25">
      <c r="B5" s="79" t="s">
        <v>483</v>
      </c>
      <c r="C5" s="96"/>
      <c r="D5" s="28">
        <v>3</v>
      </c>
      <c r="E5" s="95" t="s">
        <v>141</v>
      </c>
      <c r="F5" s="28">
        <v>3</v>
      </c>
      <c r="H5" s="77"/>
      <c r="I5" s="4" t="s">
        <v>23</v>
      </c>
      <c r="J5" s="5" t="s">
        <v>24</v>
      </c>
    </row>
    <row r="6" spans="2:10" x14ac:dyDescent="0.25">
      <c r="B6" s="79" t="s">
        <v>484</v>
      </c>
      <c r="C6" s="96"/>
      <c r="D6" s="28">
        <v>4</v>
      </c>
      <c r="E6" s="71" t="s">
        <v>28</v>
      </c>
      <c r="F6" s="28">
        <v>1</v>
      </c>
      <c r="H6" s="33" t="s">
        <v>25</v>
      </c>
      <c r="I6" s="4" t="s">
        <v>19</v>
      </c>
      <c r="J6" s="5" t="s">
        <v>27</v>
      </c>
    </row>
    <row r="7" spans="2:10" x14ac:dyDescent="0.25">
      <c r="B7" s="79" t="s">
        <v>485</v>
      </c>
      <c r="C7" s="96"/>
      <c r="D7" s="28">
        <v>5</v>
      </c>
      <c r="E7" s="95" t="s">
        <v>168</v>
      </c>
      <c r="F7" s="28">
        <v>1</v>
      </c>
      <c r="H7" s="3" t="s">
        <v>28</v>
      </c>
      <c r="I7" s="4" t="s">
        <v>19</v>
      </c>
      <c r="J7" s="5" t="s">
        <v>30</v>
      </c>
    </row>
    <row r="8" spans="2:10" x14ac:dyDescent="0.25">
      <c r="B8" s="79" t="s">
        <v>486</v>
      </c>
      <c r="C8" s="96"/>
      <c r="D8" s="28">
        <v>6</v>
      </c>
      <c r="E8" s="71" t="s">
        <v>148</v>
      </c>
      <c r="F8" s="28">
        <v>2</v>
      </c>
      <c r="H8" s="62" t="s">
        <v>31</v>
      </c>
      <c r="I8" s="4" t="s">
        <v>33</v>
      </c>
      <c r="J8" s="7" t="s">
        <v>34</v>
      </c>
    </row>
    <row r="9" spans="2:10" x14ac:dyDescent="0.25">
      <c r="B9" s="78" t="s">
        <v>487</v>
      </c>
      <c r="C9" s="96"/>
      <c r="D9" s="28">
        <v>7</v>
      </c>
      <c r="E9" s="95" t="s">
        <v>25</v>
      </c>
      <c r="F9" s="28">
        <v>1</v>
      </c>
      <c r="H9" s="33" t="s">
        <v>36</v>
      </c>
      <c r="I9" s="4" t="s">
        <v>38</v>
      </c>
      <c r="J9" s="5">
        <v>38587173</v>
      </c>
    </row>
    <row r="10" spans="2:10" x14ac:dyDescent="0.25">
      <c r="B10" s="79" t="s">
        <v>488</v>
      </c>
      <c r="C10" s="96"/>
      <c r="D10" s="28">
        <v>8</v>
      </c>
      <c r="E10" s="95" t="s">
        <v>171</v>
      </c>
      <c r="F10" s="28">
        <v>3</v>
      </c>
      <c r="H10" s="89"/>
      <c r="I10" s="4" t="s">
        <v>39</v>
      </c>
      <c r="J10" s="15" t="s">
        <v>40</v>
      </c>
    </row>
    <row r="11" spans="2:10" x14ac:dyDescent="0.25">
      <c r="B11" s="78" t="s">
        <v>489</v>
      </c>
      <c r="C11" s="96"/>
      <c r="D11" s="28">
        <v>9</v>
      </c>
      <c r="E11" s="95" t="s">
        <v>31</v>
      </c>
      <c r="F11" s="28">
        <v>1</v>
      </c>
      <c r="H11" s="21" t="s">
        <v>44</v>
      </c>
      <c r="I11" s="4" t="s">
        <v>46</v>
      </c>
      <c r="J11" s="5" t="s">
        <v>47</v>
      </c>
    </row>
    <row r="12" spans="2:10" x14ac:dyDescent="0.25">
      <c r="B12" s="79" t="s">
        <v>490</v>
      </c>
      <c r="C12" s="96"/>
      <c r="D12" s="28">
        <v>10</v>
      </c>
      <c r="E12" s="71" t="s">
        <v>151</v>
      </c>
      <c r="F12" s="28">
        <v>1</v>
      </c>
      <c r="H12" s="89"/>
      <c r="I12" s="4" t="s">
        <v>46</v>
      </c>
      <c r="J12" s="5" t="s">
        <v>48</v>
      </c>
    </row>
    <row r="13" spans="2:10" x14ac:dyDescent="0.25">
      <c r="B13" s="79" t="s">
        <v>491</v>
      </c>
      <c r="C13" s="96"/>
      <c r="D13" s="28">
        <v>11</v>
      </c>
      <c r="E13" s="71" t="s">
        <v>153</v>
      </c>
      <c r="F13" s="28">
        <v>5</v>
      </c>
      <c r="H13" s="33" t="s">
        <v>49</v>
      </c>
      <c r="I13" s="4" t="s">
        <v>51</v>
      </c>
      <c r="J13" s="7" t="s">
        <v>52</v>
      </c>
    </row>
    <row r="14" spans="2:10" x14ac:dyDescent="0.25">
      <c r="B14" s="79" t="s">
        <v>492</v>
      </c>
      <c r="C14" s="96"/>
      <c r="D14" s="28">
        <v>12</v>
      </c>
      <c r="E14" s="95" t="s">
        <v>36</v>
      </c>
      <c r="F14" s="28">
        <v>2</v>
      </c>
      <c r="H14" s="88"/>
      <c r="I14" s="4" t="s">
        <v>54</v>
      </c>
      <c r="J14" s="7">
        <v>17270209601</v>
      </c>
    </row>
    <row r="15" spans="2:10" x14ac:dyDescent="0.25">
      <c r="B15" s="79" t="s">
        <v>493</v>
      </c>
      <c r="C15" s="96"/>
      <c r="D15" s="28">
        <v>13</v>
      </c>
      <c r="E15" s="71" t="s">
        <v>250</v>
      </c>
      <c r="F15" s="28">
        <v>2</v>
      </c>
      <c r="H15" s="88"/>
      <c r="I15" s="4" t="s">
        <v>56</v>
      </c>
      <c r="J15" s="7">
        <v>26956216</v>
      </c>
    </row>
    <row r="16" spans="2:10" x14ac:dyDescent="0.25">
      <c r="B16" s="79" t="s">
        <v>494</v>
      </c>
      <c r="C16" s="96"/>
      <c r="D16" s="28">
        <v>14</v>
      </c>
      <c r="E16" s="71" t="s">
        <v>44</v>
      </c>
      <c r="F16" s="28">
        <v>2</v>
      </c>
      <c r="H16" s="89"/>
      <c r="I16" s="4" t="s">
        <v>57</v>
      </c>
      <c r="J16" s="7">
        <v>20659643</v>
      </c>
    </row>
    <row r="17" spans="2:10" x14ac:dyDescent="0.25">
      <c r="B17" s="79" t="s">
        <v>141</v>
      </c>
      <c r="C17" s="96"/>
      <c r="D17" s="28">
        <v>15</v>
      </c>
      <c r="E17" s="95" t="s">
        <v>58</v>
      </c>
      <c r="F17" s="28">
        <v>2</v>
      </c>
      <c r="H17" s="62" t="s">
        <v>58</v>
      </c>
      <c r="I17" s="5" t="s">
        <v>19</v>
      </c>
      <c r="J17" s="5" t="s">
        <v>60</v>
      </c>
    </row>
    <row r="18" spans="2:10" x14ac:dyDescent="0.25">
      <c r="B18" s="79" t="s">
        <v>495</v>
      </c>
      <c r="C18" s="96"/>
      <c r="D18" s="28">
        <v>16</v>
      </c>
      <c r="E18" s="71" t="s">
        <v>49</v>
      </c>
      <c r="F18" s="28">
        <v>4</v>
      </c>
      <c r="H18" s="92"/>
      <c r="I18" s="5" t="s">
        <v>61</v>
      </c>
      <c r="J18" s="5">
        <v>24094541601</v>
      </c>
    </row>
    <row r="19" spans="2:10" x14ac:dyDescent="0.25">
      <c r="B19" s="79" t="s">
        <v>496</v>
      </c>
      <c r="C19" s="96"/>
      <c r="D19" s="28">
        <v>17</v>
      </c>
      <c r="E19" s="71" t="s">
        <v>182</v>
      </c>
      <c r="F19" s="28">
        <v>1</v>
      </c>
      <c r="H19" s="21" t="s">
        <v>62</v>
      </c>
      <c r="I19" s="123" t="s">
        <v>23</v>
      </c>
      <c r="J19" s="5" t="s">
        <v>64</v>
      </c>
    </row>
    <row r="20" spans="2:10" x14ac:dyDescent="0.25">
      <c r="B20" s="79" t="s">
        <v>497</v>
      </c>
      <c r="C20" s="96"/>
      <c r="D20" s="28">
        <v>18</v>
      </c>
      <c r="E20" s="71" t="s">
        <v>176</v>
      </c>
      <c r="F20" s="28">
        <v>1</v>
      </c>
      <c r="H20" s="21"/>
      <c r="I20" s="123"/>
      <c r="J20" s="5" t="s">
        <v>65</v>
      </c>
    </row>
    <row r="21" spans="2:10" x14ac:dyDescent="0.25">
      <c r="B21" s="79" t="s">
        <v>498</v>
      </c>
      <c r="C21" s="96"/>
      <c r="D21" s="28">
        <v>19</v>
      </c>
      <c r="E21" s="95" t="s">
        <v>62</v>
      </c>
      <c r="F21" s="28">
        <v>1</v>
      </c>
      <c r="H21" s="21"/>
      <c r="I21" s="123"/>
      <c r="J21" s="5" t="s">
        <v>66</v>
      </c>
    </row>
    <row r="22" spans="2:10" x14ac:dyDescent="0.25">
      <c r="B22" s="79" t="s">
        <v>499</v>
      </c>
      <c r="C22" s="96"/>
      <c r="D22" s="28">
        <v>20</v>
      </c>
      <c r="E22" s="71" t="s">
        <v>137</v>
      </c>
      <c r="F22" s="28">
        <v>1</v>
      </c>
      <c r="H22" s="67" t="s">
        <v>67</v>
      </c>
      <c r="I22" s="4" t="s">
        <v>69</v>
      </c>
      <c r="J22" s="5" t="s">
        <v>70</v>
      </c>
    </row>
    <row r="23" spans="2:10" x14ac:dyDescent="0.25">
      <c r="B23" s="78" t="s">
        <v>500</v>
      </c>
      <c r="C23" s="96"/>
      <c r="D23" s="28">
        <v>21</v>
      </c>
      <c r="E23" s="71" t="s">
        <v>186</v>
      </c>
      <c r="F23" s="28">
        <v>3</v>
      </c>
      <c r="H23" s="67"/>
      <c r="I23" s="4" t="s">
        <v>41</v>
      </c>
      <c r="J23" s="7" t="s">
        <v>71</v>
      </c>
    </row>
    <row r="24" spans="2:10" x14ac:dyDescent="0.25">
      <c r="B24" s="79" t="s">
        <v>501</v>
      </c>
      <c r="C24" s="96"/>
      <c r="D24" s="28">
        <v>22</v>
      </c>
      <c r="E24" s="71" t="s">
        <v>67</v>
      </c>
      <c r="F24" s="28">
        <v>2</v>
      </c>
      <c r="H24" s="64" t="s">
        <v>73</v>
      </c>
      <c r="I24" s="4" t="s">
        <v>19</v>
      </c>
      <c r="J24" s="7" t="s">
        <v>75</v>
      </c>
    </row>
    <row r="25" spans="2:10" x14ac:dyDescent="0.25">
      <c r="B25" s="79" t="s">
        <v>502</v>
      </c>
      <c r="C25" s="96"/>
      <c r="D25" s="28">
        <v>23</v>
      </c>
      <c r="E25" s="71" t="s">
        <v>73</v>
      </c>
      <c r="F25" s="28">
        <v>2</v>
      </c>
      <c r="H25" s="92"/>
      <c r="I25" s="4" t="s">
        <v>41</v>
      </c>
      <c r="J25" s="7" t="s">
        <v>76</v>
      </c>
    </row>
    <row r="26" spans="2:10" x14ac:dyDescent="0.25">
      <c r="B26" s="78" t="s">
        <v>503</v>
      </c>
      <c r="C26" s="96"/>
      <c r="D26" s="28">
        <v>24</v>
      </c>
      <c r="E26" s="71" t="s">
        <v>189</v>
      </c>
      <c r="F26" s="28">
        <v>1</v>
      </c>
      <c r="H26" s="21" t="s">
        <v>77</v>
      </c>
      <c r="I26" s="4" t="s">
        <v>79</v>
      </c>
      <c r="J26" s="5">
        <v>2928507</v>
      </c>
    </row>
    <row r="27" spans="2:10" x14ac:dyDescent="0.25">
      <c r="B27" s="79" t="s">
        <v>504</v>
      </c>
      <c r="C27" s="96"/>
      <c r="D27" s="28">
        <v>25</v>
      </c>
      <c r="E27" s="95" t="s">
        <v>77</v>
      </c>
      <c r="F27" s="28">
        <v>2</v>
      </c>
      <c r="H27" s="64" t="s">
        <v>77</v>
      </c>
      <c r="I27" s="4" t="s">
        <v>33</v>
      </c>
      <c r="J27" s="7" t="s">
        <v>81</v>
      </c>
    </row>
    <row r="28" spans="2:10" x14ac:dyDescent="0.25">
      <c r="B28" s="79" t="s">
        <v>171</v>
      </c>
      <c r="C28" s="96"/>
      <c r="D28" s="28">
        <v>26</v>
      </c>
      <c r="E28" s="71" t="s">
        <v>207</v>
      </c>
      <c r="F28" s="28">
        <v>4</v>
      </c>
      <c r="H28" s="3" t="s">
        <v>505</v>
      </c>
      <c r="I28" s="4" t="s">
        <v>88</v>
      </c>
      <c r="J28" s="5" t="s">
        <v>506</v>
      </c>
    </row>
    <row r="29" spans="2:10" x14ac:dyDescent="0.25">
      <c r="D29" s="28">
        <v>27</v>
      </c>
      <c r="E29" s="71" t="s">
        <v>507</v>
      </c>
      <c r="F29" s="28">
        <v>2</v>
      </c>
      <c r="H29" s="3" t="s">
        <v>507</v>
      </c>
      <c r="I29" s="4" t="s">
        <v>83</v>
      </c>
      <c r="J29" s="5" t="s">
        <v>84</v>
      </c>
    </row>
    <row r="30" spans="2:10" x14ac:dyDescent="0.25">
      <c r="D30" s="28">
        <v>28</v>
      </c>
      <c r="E30" s="71" t="s">
        <v>85</v>
      </c>
      <c r="F30" s="28">
        <v>4</v>
      </c>
      <c r="H30" s="21" t="s">
        <v>85</v>
      </c>
      <c r="I30" s="4" t="s">
        <v>19</v>
      </c>
      <c r="J30" s="5" t="s">
        <v>87</v>
      </c>
    </row>
    <row r="31" spans="2:10" x14ac:dyDescent="0.25">
      <c r="D31" s="28">
        <v>29</v>
      </c>
      <c r="E31" s="71" t="s">
        <v>94</v>
      </c>
      <c r="F31" s="28">
        <v>1</v>
      </c>
      <c r="H31" s="88"/>
      <c r="I31" s="4" t="s">
        <v>88</v>
      </c>
      <c r="J31" s="5" t="s">
        <v>89</v>
      </c>
    </row>
    <row r="32" spans="2:10" x14ac:dyDescent="0.25">
      <c r="D32" s="28">
        <v>30</v>
      </c>
      <c r="E32" s="71" t="s">
        <v>180</v>
      </c>
      <c r="F32" s="28">
        <v>1</v>
      </c>
      <c r="H32" s="88"/>
      <c r="I32" s="4" t="s">
        <v>88</v>
      </c>
      <c r="J32" s="5" t="s">
        <v>90</v>
      </c>
    </row>
    <row r="33" spans="4:10" x14ac:dyDescent="0.25">
      <c r="D33" s="28">
        <v>31</v>
      </c>
      <c r="E33" s="95" t="s">
        <v>98</v>
      </c>
      <c r="F33" s="28">
        <v>1</v>
      </c>
      <c r="H33" s="89"/>
      <c r="I33" s="4" t="s">
        <v>88</v>
      </c>
      <c r="J33" s="5" t="s">
        <v>91</v>
      </c>
    </row>
    <row r="34" spans="4:10" x14ac:dyDescent="0.25">
      <c r="D34" s="28">
        <v>32</v>
      </c>
      <c r="E34" s="95" t="s">
        <v>101</v>
      </c>
      <c r="F34" s="28">
        <v>2</v>
      </c>
      <c r="H34" s="3" t="s">
        <v>92</v>
      </c>
      <c r="I34" s="4" t="s">
        <v>22</v>
      </c>
      <c r="J34" s="5">
        <v>503984</v>
      </c>
    </row>
    <row r="35" spans="4:10" x14ac:dyDescent="0.25">
      <c r="D35" s="28">
        <v>33</v>
      </c>
      <c r="E35" s="95" t="s">
        <v>105</v>
      </c>
      <c r="F35" s="28">
        <v>1</v>
      </c>
      <c r="H35" s="66" t="s">
        <v>94</v>
      </c>
      <c r="I35" s="4" t="s">
        <v>96</v>
      </c>
      <c r="J35" s="5" t="s">
        <v>97</v>
      </c>
    </row>
    <row r="36" spans="4:10" x14ac:dyDescent="0.25">
      <c r="D36" s="28">
        <v>34</v>
      </c>
      <c r="E36" s="71" t="s">
        <v>194</v>
      </c>
      <c r="F36" s="28">
        <v>3</v>
      </c>
      <c r="H36" s="62" t="s">
        <v>98</v>
      </c>
      <c r="I36" s="34" t="s">
        <v>33</v>
      </c>
      <c r="J36" s="7" t="s">
        <v>100</v>
      </c>
    </row>
    <row r="37" spans="4:10" x14ac:dyDescent="0.25">
      <c r="D37" s="28">
        <v>35</v>
      </c>
      <c r="E37" s="95" t="s">
        <v>109</v>
      </c>
      <c r="F37" s="28">
        <v>4</v>
      </c>
      <c r="H37" s="33" t="s">
        <v>101</v>
      </c>
      <c r="I37" s="4" t="s">
        <v>103</v>
      </c>
      <c r="J37" s="5">
        <v>778608653</v>
      </c>
    </row>
    <row r="38" spans="4:10" x14ac:dyDescent="0.25">
      <c r="D38" s="28">
        <v>36</v>
      </c>
      <c r="E38" s="95" t="s">
        <v>113</v>
      </c>
      <c r="F38" s="28">
        <v>1</v>
      </c>
      <c r="H38" s="89"/>
      <c r="I38" s="4" t="s">
        <v>104</v>
      </c>
      <c r="J38" s="5">
        <v>277954350</v>
      </c>
    </row>
    <row r="39" spans="4:10" x14ac:dyDescent="0.25">
      <c r="D39" s="28">
        <v>37</v>
      </c>
      <c r="E39" s="95" t="s">
        <v>121</v>
      </c>
      <c r="F39" s="28">
        <v>1</v>
      </c>
      <c r="H39" s="3" t="s">
        <v>105</v>
      </c>
      <c r="I39" s="4" t="s">
        <v>107</v>
      </c>
      <c r="J39" s="5">
        <v>9702</v>
      </c>
    </row>
    <row r="40" spans="4:10" x14ac:dyDescent="0.25">
      <c r="D40" s="28">
        <v>38</v>
      </c>
      <c r="E40" s="71" t="s">
        <v>259</v>
      </c>
      <c r="F40" s="28">
        <v>1</v>
      </c>
      <c r="H40" s="33" t="s">
        <v>109</v>
      </c>
      <c r="I40" s="4" t="s">
        <v>22</v>
      </c>
      <c r="J40" s="5">
        <v>504069.00099999999</v>
      </c>
    </row>
    <row r="41" spans="4:10" x14ac:dyDescent="0.25">
      <c r="D41" s="28">
        <v>39</v>
      </c>
      <c r="E41" s="71" t="s">
        <v>261</v>
      </c>
      <c r="F41" s="28">
        <v>1</v>
      </c>
      <c r="H41" s="88"/>
      <c r="I41" s="4" t="s">
        <v>22</v>
      </c>
      <c r="J41" s="5">
        <v>504069.00199999998</v>
      </c>
    </row>
    <row r="42" spans="4:10" x14ac:dyDescent="0.25">
      <c r="D42" s="28">
        <v>40</v>
      </c>
      <c r="E42" s="71" t="s">
        <v>162</v>
      </c>
      <c r="F42" s="28">
        <v>5</v>
      </c>
      <c r="H42" s="89"/>
      <c r="I42" s="4" t="s">
        <v>22</v>
      </c>
      <c r="J42" s="5">
        <v>504069.00300000003</v>
      </c>
    </row>
    <row r="43" spans="4:10" x14ac:dyDescent="0.25">
      <c r="D43" s="28">
        <v>41</v>
      </c>
      <c r="E43" s="71" t="s">
        <v>201</v>
      </c>
      <c r="F43" s="28">
        <v>2</v>
      </c>
      <c r="H43" s="3" t="s">
        <v>111</v>
      </c>
      <c r="I43" s="4" t="s">
        <v>22</v>
      </c>
      <c r="J43" s="5">
        <v>504088.00099999999</v>
      </c>
    </row>
    <row r="44" spans="4:10" x14ac:dyDescent="0.25">
      <c r="D44" s="28">
        <v>42</v>
      </c>
      <c r="E44" s="95" t="s">
        <v>124</v>
      </c>
      <c r="F44" s="28">
        <v>1</v>
      </c>
      <c r="H44" s="65" t="s">
        <v>113</v>
      </c>
      <c r="I44" s="4" t="s">
        <v>115</v>
      </c>
      <c r="J44" s="5" t="s">
        <v>116</v>
      </c>
    </row>
    <row r="45" spans="4:10" x14ac:dyDescent="0.25">
      <c r="D45" s="28">
        <v>43</v>
      </c>
      <c r="E45" s="95" t="s">
        <v>126</v>
      </c>
      <c r="F45" s="28">
        <v>2</v>
      </c>
      <c r="H45" s="65" t="s">
        <v>117</v>
      </c>
      <c r="I45" s="4" t="s">
        <v>119</v>
      </c>
      <c r="J45" s="5" t="s">
        <v>120</v>
      </c>
    </row>
    <row r="46" spans="4:10" x14ac:dyDescent="0.25">
      <c r="D46" s="28">
        <v>44</v>
      </c>
      <c r="E46" s="95" t="s">
        <v>92</v>
      </c>
      <c r="F46" s="28">
        <v>1</v>
      </c>
      <c r="H46" s="63" t="s">
        <v>121</v>
      </c>
      <c r="I46" s="32" t="s">
        <v>33</v>
      </c>
      <c r="J46" s="7" t="s">
        <v>123</v>
      </c>
    </row>
    <row r="47" spans="4:10" x14ac:dyDescent="0.25">
      <c r="D47" s="28">
        <v>45</v>
      </c>
      <c r="E47" s="95" t="s">
        <v>131</v>
      </c>
      <c r="F47" s="28">
        <v>1</v>
      </c>
      <c r="H47" s="93" t="s">
        <v>124</v>
      </c>
      <c r="I47" s="4" t="s">
        <v>38</v>
      </c>
      <c r="J47" s="5">
        <v>25435434</v>
      </c>
    </row>
    <row r="48" spans="4:10" x14ac:dyDescent="0.25">
      <c r="D48" s="28">
        <v>46</v>
      </c>
      <c r="E48" s="95" t="s">
        <v>134</v>
      </c>
      <c r="F48" s="28">
        <v>1</v>
      </c>
      <c r="H48" s="94"/>
      <c r="I48" s="4" t="s">
        <v>38</v>
      </c>
      <c r="J48" s="5">
        <v>33365318</v>
      </c>
    </row>
    <row r="49" spans="8:10" x14ac:dyDescent="0.25">
      <c r="H49" s="86" t="s">
        <v>126</v>
      </c>
      <c r="I49" s="4" t="s">
        <v>128</v>
      </c>
      <c r="J49" s="7" t="s">
        <v>129</v>
      </c>
    </row>
    <row r="50" spans="8:10" x14ac:dyDescent="0.25">
      <c r="H50" s="87"/>
      <c r="I50" s="4" t="s">
        <v>96</v>
      </c>
      <c r="J50" s="5" t="s">
        <v>130</v>
      </c>
    </row>
    <row r="51" spans="8:10" x14ac:dyDescent="0.25">
      <c r="H51" s="3" t="s">
        <v>508</v>
      </c>
      <c r="I51" s="4" t="s">
        <v>41</v>
      </c>
      <c r="J51" s="5" t="s">
        <v>509</v>
      </c>
    </row>
    <row r="52" spans="8:10" x14ac:dyDescent="0.25">
      <c r="H52" s="3" t="s">
        <v>131</v>
      </c>
      <c r="I52" s="4" t="s">
        <v>41</v>
      </c>
      <c r="J52" s="7" t="s">
        <v>133</v>
      </c>
    </row>
    <row r="53" spans="8:10" x14ac:dyDescent="0.25">
      <c r="H53" s="66" t="s">
        <v>134</v>
      </c>
      <c r="I53" s="4" t="s">
        <v>88</v>
      </c>
      <c r="J53" s="5" t="s">
        <v>136</v>
      </c>
    </row>
    <row r="54" spans="8:10" ht="90" customHeight="1" x14ac:dyDescent="0.25">
      <c r="H54" s="67" t="s">
        <v>137</v>
      </c>
      <c r="I54" s="12" t="s">
        <v>139</v>
      </c>
      <c r="J54" s="14" t="s">
        <v>140</v>
      </c>
    </row>
    <row r="55" spans="8:10" ht="51.75" customHeight="1" x14ac:dyDescent="0.25">
      <c r="H55" s="33" t="s">
        <v>141</v>
      </c>
      <c r="I55" s="12" t="s">
        <v>143</v>
      </c>
      <c r="J55" s="14" t="s">
        <v>144</v>
      </c>
    </row>
    <row r="56" spans="8:10" x14ac:dyDescent="0.25">
      <c r="H56" s="88"/>
      <c r="I56" s="12" t="s">
        <v>119</v>
      </c>
      <c r="J56" s="14" t="s">
        <v>145</v>
      </c>
    </row>
    <row r="57" spans="8:10" ht="26.25" customHeight="1" x14ac:dyDescent="0.25">
      <c r="H57" s="89"/>
      <c r="I57" s="12" t="s">
        <v>146</v>
      </c>
      <c r="J57" s="14" t="s">
        <v>147</v>
      </c>
    </row>
    <row r="58" spans="8:10" x14ac:dyDescent="0.25">
      <c r="H58" s="33" t="s">
        <v>148</v>
      </c>
      <c r="I58" s="12" t="s">
        <v>119</v>
      </c>
      <c r="J58" s="14" t="s">
        <v>510</v>
      </c>
    </row>
    <row r="59" spans="8:10" x14ac:dyDescent="0.25">
      <c r="H59" s="89"/>
      <c r="I59" s="21" t="s">
        <v>96</v>
      </c>
      <c r="J59" s="14" t="s">
        <v>150</v>
      </c>
    </row>
    <row r="60" spans="8:10" x14ac:dyDescent="0.25">
      <c r="H60" s="21" t="s">
        <v>151</v>
      </c>
      <c r="I60" s="12" t="s">
        <v>41</v>
      </c>
      <c r="J60" s="14" t="s">
        <v>152</v>
      </c>
    </row>
    <row r="61" spans="8:10" x14ac:dyDescent="0.25">
      <c r="H61" s="66" t="s">
        <v>511</v>
      </c>
      <c r="I61" s="4" t="s">
        <v>33</v>
      </c>
      <c r="J61" s="5" t="s">
        <v>512</v>
      </c>
    </row>
    <row r="62" spans="8:10" x14ac:dyDescent="0.25">
      <c r="H62" s="33" t="s">
        <v>153</v>
      </c>
      <c r="I62" s="4" t="s">
        <v>33</v>
      </c>
      <c r="J62" s="5" t="s">
        <v>155</v>
      </c>
    </row>
    <row r="63" spans="8:10" x14ac:dyDescent="0.25">
      <c r="H63" s="88"/>
      <c r="I63" s="4" t="s">
        <v>33</v>
      </c>
      <c r="J63" s="5" t="s">
        <v>156</v>
      </c>
    </row>
    <row r="64" spans="8:10" x14ac:dyDescent="0.25">
      <c r="H64" s="88"/>
      <c r="I64" s="4" t="s">
        <v>157</v>
      </c>
      <c r="J64" s="14" t="s">
        <v>158</v>
      </c>
    </row>
    <row r="65" spans="8:10" x14ac:dyDescent="0.25">
      <c r="H65" s="88"/>
      <c r="I65" s="4" t="s">
        <v>159</v>
      </c>
      <c r="J65" s="5" t="s">
        <v>160</v>
      </c>
    </row>
    <row r="66" spans="8:10" x14ac:dyDescent="0.25">
      <c r="H66" s="89"/>
      <c r="I66" s="4" t="s">
        <v>161</v>
      </c>
      <c r="J66" s="5">
        <v>32822448</v>
      </c>
    </row>
    <row r="67" spans="8:10" x14ac:dyDescent="0.25">
      <c r="H67" s="3" t="s">
        <v>336</v>
      </c>
      <c r="I67" s="4" t="s">
        <v>41</v>
      </c>
      <c r="J67" s="5" t="s">
        <v>513</v>
      </c>
    </row>
    <row r="68" spans="8:10" x14ac:dyDescent="0.25">
      <c r="H68" s="3" t="s">
        <v>514</v>
      </c>
      <c r="I68" s="41" t="s">
        <v>41</v>
      </c>
      <c r="J68" s="5" t="s">
        <v>515</v>
      </c>
    </row>
    <row r="69" spans="8:10" x14ac:dyDescent="0.25">
      <c r="H69" s="34" t="s">
        <v>162</v>
      </c>
      <c r="I69" s="41" t="s">
        <v>164</v>
      </c>
      <c r="J69" s="5" t="s">
        <v>165</v>
      </c>
    </row>
    <row r="70" spans="8:10" x14ac:dyDescent="0.25">
      <c r="H70" s="90"/>
      <c r="I70" s="41" t="s">
        <v>166</v>
      </c>
      <c r="J70" s="5" t="s">
        <v>167</v>
      </c>
    </row>
    <row r="71" spans="8:10" x14ac:dyDescent="0.25">
      <c r="H71" s="90"/>
      <c r="I71" s="41" t="s">
        <v>516</v>
      </c>
      <c r="J71" s="5" t="s">
        <v>517</v>
      </c>
    </row>
    <row r="72" spans="8:10" x14ac:dyDescent="0.25">
      <c r="H72" s="90"/>
      <c r="I72" s="41" t="s">
        <v>518</v>
      </c>
      <c r="J72" s="5">
        <v>303945818</v>
      </c>
    </row>
    <row r="73" spans="8:10" x14ac:dyDescent="0.25">
      <c r="H73" s="91"/>
      <c r="I73" s="41" t="s">
        <v>519</v>
      </c>
      <c r="J73" s="5" t="s">
        <v>520</v>
      </c>
    </row>
    <row r="74" spans="8:10" x14ac:dyDescent="0.25">
      <c r="H74" s="4" t="s">
        <v>521</v>
      </c>
      <c r="I74" s="41" t="s">
        <v>522</v>
      </c>
      <c r="J74" s="5">
        <v>10153072</v>
      </c>
    </row>
    <row r="75" spans="8:10" x14ac:dyDescent="0.25">
      <c r="H75" s="4" t="s">
        <v>168</v>
      </c>
      <c r="I75" s="4" t="s">
        <v>61</v>
      </c>
      <c r="J75" s="5" t="s">
        <v>169</v>
      </c>
    </row>
    <row r="76" spans="8:10" x14ac:dyDescent="0.25">
      <c r="H76" s="73" t="s">
        <v>171</v>
      </c>
      <c r="I76" s="68" t="s">
        <v>128</v>
      </c>
      <c r="J76" s="5" t="s">
        <v>173</v>
      </c>
    </row>
    <row r="77" spans="8:10" x14ac:dyDescent="0.25">
      <c r="H77" s="74"/>
      <c r="I77" s="4" t="s">
        <v>33</v>
      </c>
      <c r="J77" s="7" t="s">
        <v>174</v>
      </c>
    </row>
    <row r="78" spans="8:10" x14ac:dyDescent="0.25">
      <c r="H78" s="75"/>
      <c r="I78" s="4" t="s">
        <v>19</v>
      </c>
      <c r="J78" s="5" t="s">
        <v>175</v>
      </c>
    </row>
    <row r="79" spans="8:10" x14ac:dyDescent="0.25">
      <c r="H79" s="4" t="s">
        <v>176</v>
      </c>
      <c r="I79" s="4" t="s">
        <v>178</v>
      </c>
      <c r="J79" s="5" t="s">
        <v>179</v>
      </c>
    </row>
    <row r="80" spans="8:10" x14ac:dyDescent="0.25">
      <c r="H80" s="4" t="s">
        <v>385</v>
      </c>
      <c r="I80" s="4" t="s">
        <v>523</v>
      </c>
      <c r="J80" s="5" t="s">
        <v>524</v>
      </c>
    </row>
    <row r="81" spans="8:10" x14ac:dyDescent="0.25">
      <c r="H81" s="4" t="s">
        <v>376</v>
      </c>
      <c r="I81" s="4" t="s">
        <v>525</v>
      </c>
      <c r="J81" s="5" t="s">
        <v>526</v>
      </c>
    </row>
    <row r="82" spans="8:10" x14ac:dyDescent="0.25">
      <c r="H82" s="68" t="s">
        <v>180</v>
      </c>
      <c r="I82" s="4" t="s">
        <v>41</v>
      </c>
      <c r="J82" s="5" t="s">
        <v>181</v>
      </c>
    </row>
    <row r="83" spans="8:10" x14ac:dyDescent="0.25">
      <c r="H83" s="4" t="s">
        <v>527</v>
      </c>
      <c r="I83" s="4" t="s">
        <v>528</v>
      </c>
      <c r="J83" s="5">
        <v>633061987</v>
      </c>
    </row>
    <row r="84" spans="8:10" x14ac:dyDescent="0.25">
      <c r="H84" s="69" t="s">
        <v>182</v>
      </c>
      <c r="I84" s="4" t="s">
        <v>184</v>
      </c>
      <c r="J84" s="5" t="s">
        <v>185</v>
      </c>
    </row>
    <row r="85" spans="8:10" x14ac:dyDescent="0.25">
      <c r="H85" s="82" t="s">
        <v>186</v>
      </c>
      <c r="I85" s="4" t="s">
        <v>139</v>
      </c>
      <c r="J85" s="40">
        <v>120591750101</v>
      </c>
    </row>
    <row r="86" spans="8:10" x14ac:dyDescent="0.25">
      <c r="H86" s="83"/>
      <c r="I86" s="4" t="s">
        <v>139</v>
      </c>
      <c r="J86" s="40">
        <v>120591750101</v>
      </c>
    </row>
    <row r="87" spans="8:10" x14ac:dyDescent="0.25">
      <c r="H87" s="84"/>
      <c r="I87" s="4" t="s">
        <v>188</v>
      </c>
      <c r="J87" s="40"/>
    </row>
    <row r="88" spans="8:10" x14ac:dyDescent="0.25">
      <c r="H88" s="4" t="s">
        <v>422</v>
      </c>
      <c r="I88" s="4" t="s">
        <v>522</v>
      </c>
      <c r="J88" s="5">
        <v>10157263</v>
      </c>
    </row>
    <row r="89" spans="8:10" x14ac:dyDescent="0.25">
      <c r="H89" s="4" t="s">
        <v>189</v>
      </c>
      <c r="I89" s="4" t="s">
        <v>41</v>
      </c>
      <c r="J89" s="4" t="s">
        <v>190</v>
      </c>
    </row>
    <row r="90" spans="8:10" x14ac:dyDescent="0.25">
      <c r="H90" s="36" t="s">
        <v>194</v>
      </c>
      <c r="I90" s="4" t="s">
        <v>19</v>
      </c>
      <c r="J90" s="5" t="s">
        <v>196</v>
      </c>
    </row>
    <row r="91" spans="8:10" x14ac:dyDescent="0.25">
      <c r="H91" s="85"/>
      <c r="I91" s="6" t="s">
        <v>197</v>
      </c>
      <c r="J91" s="6"/>
    </row>
    <row r="92" spans="8:10" x14ac:dyDescent="0.25">
      <c r="H92" s="37"/>
      <c r="I92" s="6" t="s">
        <v>199</v>
      </c>
      <c r="J92" s="6" t="s">
        <v>200</v>
      </c>
    </row>
    <row r="93" spans="8:10" x14ac:dyDescent="0.25">
      <c r="H93" s="36" t="s">
        <v>201</v>
      </c>
      <c r="I93" s="6" t="s">
        <v>96</v>
      </c>
      <c r="J93" s="6" t="s">
        <v>203</v>
      </c>
    </row>
    <row r="94" spans="8:10" x14ac:dyDescent="0.25">
      <c r="H94" s="37"/>
      <c r="I94" s="6" t="s">
        <v>205</v>
      </c>
      <c r="J94" s="42" t="s">
        <v>206</v>
      </c>
    </row>
    <row r="95" spans="8:10" x14ac:dyDescent="0.25">
      <c r="H95" s="36" t="s">
        <v>207</v>
      </c>
      <c r="I95" s="6" t="s">
        <v>209</v>
      </c>
      <c r="J95" s="44">
        <v>1024833388</v>
      </c>
    </row>
    <row r="96" spans="8:10" x14ac:dyDescent="0.25">
      <c r="H96" s="85"/>
      <c r="I96" s="6" t="s">
        <v>211</v>
      </c>
      <c r="J96" s="6" t="s">
        <v>212</v>
      </c>
    </row>
    <row r="97" spans="8:10" x14ac:dyDescent="0.25">
      <c r="H97" s="85"/>
      <c r="I97" s="6" t="s">
        <v>214</v>
      </c>
      <c r="J97" s="43">
        <v>1001040973</v>
      </c>
    </row>
    <row r="98" spans="8:10" x14ac:dyDescent="0.25">
      <c r="H98" s="37"/>
      <c r="I98" s="6" t="s">
        <v>215</v>
      </c>
      <c r="J98" s="43">
        <v>42298919</v>
      </c>
    </row>
    <row r="99" spans="8:10" x14ac:dyDescent="0.25">
      <c r="H99" s="6" t="s">
        <v>216</v>
      </c>
      <c r="I99" s="6" t="s">
        <v>218</v>
      </c>
      <c r="J99" s="42" t="s">
        <v>219</v>
      </c>
    </row>
    <row r="100" spans="8:10" x14ac:dyDescent="0.25">
      <c r="H100" s="6"/>
      <c r="I100" s="6" t="s">
        <v>220</v>
      </c>
      <c r="J100" s="42" t="s">
        <v>221</v>
      </c>
    </row>
    <row r="101" spans="8:10" x14ac:dyDescent="0.25">
      <c r="H101" s="6" t="s">
        <v>222</v>
      </c>
      <c r="I101" s="6" t="s">
        <v>223</v>
      </c>
      <c r="J101" s="44">
        <v>110240.00199999999</v>
      </c>
    </row>
  </sheetData>
  <autoFilter ref="H2:J101" xr:uid="{843D93F0-5633-4FF9-AAA8-794E54308610}"/>
  <mergeCells count="1">
    <mergeCell ref="I19:I21"/>
  </mergeCells>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irstRound xmlns="84ebf1d2-7948-493c-8c62-2ca8e383162c">true</FirstRound>
    <_ip_UnifiedCompliancePolicyUIAction xmlns="http://schemas.microsoft.com/sharepoint/v3" xsi:nil="true"/>
    <Tag xmlns="84ebf1d2-7948-493c-8c62-2ca8e383162c" xsi:nil="true"/>
    <_ip_UnifiedCompliancePolicyProperties xmlns="http://schemas.microsoft.com/sharepoint/v3" xsi:nil="true"/>
    <TaxCatchAll xmlns="742899a5-620b-46b4-8028-e0b32381c729" xsi:nil="true"/>
    <DocumentType xmlns="84ebf1d2-7948-493c-8c62-2ca8e383162c" xsi:nil="true"/>
    <DateofCertification xmlns="84ebf1d2-7948-493c-8c62-2ca8e383162c" xsi:nil="true"/>
    <lcf76f155ced4ddcb4097134ff3c332f xmlns="84ebf1d2-7948-493c-8c62-2ca8e383162c">
      <Terms xmlns="http://schemas.microsoft.com/office/infopath/2007/PartnerControls"/>
    </lcf76f155ced4ddcb4097134ff3c332f>
    <SharedWithUsers xmlns="742899a5-620b-46b4-8028-e0b32381c729">
      <UserInfo>
        <DisplayName/>
        <AccountId xsi:nil="true"/>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52F1BFCADBC0848A5FED0D06D89763B" ma:contentTypeVersion="25" ma:contentTypeDescription="Create a new document." ma:contentTypeScope="" ma:versionID="68f0e11f74df8d300ee4193468ab27a0">
  <xsd:schema xmlns:xsd="http://www.w3.org/2001/XMLSchema" xmlns:xs="http://www.w3.org/2001/XMLSchema" xmlns:p="http://schemas.microsoft.com/office/2006/metadata/properties" xmlns:ns1="http://schemas.microsoft.com/sharepoint/v3" xmlns:ns2="742899a5-620b-46b4-8028-e0b32381c729" xmlns:ns3="84ebf1d2-7948-493c-8c62-2ca8e383162c" targetNamespace="http://schemas.microsoft.com/office/2006/metadata/properties" ma:root="true" ma:fieldsID="9f3425df69acaae048487c9f62322dd7" ns1:_="" ns2:_="" ns3:_="">
    <xsd:import namespace="http://schemas.microsoft.com/sharepoint/v3"/>
    <xsd:import namespace="742899a5-620b-46b4-8028-e0b32381c729"/>
    <xsd:import namespace="84ebf1d2-7948-493c-8c62-2ca8e383162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Tag"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FirstRound" minOccurs="0"/>
                <xsd:element ref="ns3:DocumentType" minOccurs="0"/>
                <xsd:element ref="ns3:DateofCertification" minOccurs="0"/>
                <xsd:element ref="ns3:MediaLengthInSeconds" minOccurs="0"/>
                <xsd:element ref="ns1:_ip_UnifiedCompliancePolicyProperties" minOccurs="0"/>
                <xsd:element ref="ns1:_ip_UnifiedCompliancePolicyUIAction" minOccurs="0"/>
                <xsd:element ref="ns3:lcf76f155ced4ddcb4097134ff3c332f" minOccurs="0"/>
                <xsd:element ref="ns2:TaxCatchAll" minOccurs="0"/>
                <xsd:element ref="ns3:MediaServiceSearchProperties" minOccurs="0"/>
                <xsd:element ref="ns3:MediaServiceObjectDetectorVersion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42899a5-620b-46b4-8028-e0b32381c72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9" nillable="true" ma:displayName="Taxonomy Catch All Column" ma:hidden="true" ma:list="{bdc06354-6557-4be3-b158-1a2f3106dddb}" ma:internalName="TaxCatchAll" ma:showField="CatchAllData" ma:web="742899a5-620b-46b4-8028-e0b32381c72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4ebf1d2-7948-493c-8c62-2ca8e383162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Tag" ma:index="14" nillable="true" ma:displayName="Tag" ma:format="Dropdown" ma:internalName="Tag">
      <xsd:simpleType>
        <xsd:restriction base="dms:Text">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FirstRound" ma:index="21" nillable="true" ma:displayName="First Round" ma:default="1" ma:format="Dropdown" ma:internalName="FirstRound">
      <xsd:simpleType>
        <xsd:restriction base="dms:Boolean"/>
      </xsd:simpleType>
    </xsd:element>
    <xsd:element name="DocumentType" ma:index="22" nillable="true" ma:displayName="Document Type" ma:description="For compliance team use" ma:format="Dropdown" ma:internalName="DocumentType">
      <xsd:simpleType>
        <xsd:restriction base="dms:Choice">
          <xsd:enumeration value="Certified"/>
          <xsd:enumeration value="Signed"/>
          <xsd:enumeration value="Scanned"/>
          <xsd:enumeration value="Official Extract"/>
          <xsd:enumeration value="Original"/>
        </xsd:restriction>
      </xsd:simpleType>
    </xsd:element>
    <xsd:element name="DateofCertification" ma:index="23" nillable="true" ma:displayName="Date of Certification" ma:description="For compliance team use" ma:format="DateOnly" ma:internalName="DateofCertification">
      <xsd:simpleType>
        <xsd:restriction base="dms:DateTime"/>
      </xsd:simpleType>
    </xsd:element>
    <xsd:element name="MediaLengthInSeconds" ma:index="24" nillable="true" ma:displayName="Length (seconds)" ma:internalName="MediaLengthInSeconds" ma:readOnly="true">
      <xsd:simpleType>
        <xsd:restriction base="dms:Unknow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884e9de0-b5f5-422f-852a-32d8c7254e2f" ma:termSetId="09814cd3-568e-fe90-9814-8d621ff8fb84" ma:anchorId="fba54fb3-c3e1-fe81-a776-ca4b69148c4d" ma:open="true" ma:isKeyword="false">
      <xsd:complexType>
        <xsd:sequence>
          <xsd:element ref="pc:Terms" minOccurs="0" maxOccurs="1"/>
        </xsd:sequence>
      </xsd:complexType>
    </xsd:element>
    <xsd:element name="MediaServiceSearchProperties" ma:index="30" nillable="true" ma:displayName="MediaServiceSearchProperties" ma:hidden="true" ma:internalName="MediaServiceSearchPropertie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3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898965-C0CD-48FF-8A1F-B799F6FF234D}">
  <ds:schemaRefs>
    <ds:schemaRef ds:uri="http://schemas.microsoft.com/office/2006/metadata/properties"/>
    <ds:schemaRef ds:uri="http://schemas.microsoft.com/office/infopath/2007/PartnerControls"/>
    <ds:schemaRef ds:uri="84ebf1d2-7948-493c-8c62-2ca8e383162c"/>
    <ds:schemaRef ds:uri="http://schemas.microsoft.com/sharepoint/v3"/>
    <ds:schemaRef ds:uri="742899a5-620b-46b4-8028-e0b32381c729"/>
  </ds:schemaRefs>
</ds:datastoreItem>
</file>

<file path=customXml/itemProps2.xml><?xml version="1.0" encoding="utf-8"?>
<ds:datastoreItem xmlns:ds="http://schemas.openxmlformats.org/officeDocument/2006/customXml" ds:itemID="{58520F40-2CC1-49B9-B44A-2AFCD5D666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42899a5-620b-46b4-8028-e0b32381c729"/>
    <ds:schemaRef ds:uri="84ebf1d2-7948-493c-8c62-2ca8e38316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0E97CC-63D1-4ADA-B405-7A1E6B93BB2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Statement Records</vt:lpstr>
      <vt:lpstr>Monthly Statement Delay</vt:lpstr>
      <vt:lpstr>PAD Submission Dashboard </vt:lpstr>
      <vt:lpstr>PAD Approvals</vt:lpstr>
      <vt:lpstr>PAD Approval Dashboard</vt:lpstr>
      <vt:lpstr>Licensed Vs Non Licensed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Philip Kam</dc:creator>
  <cp:keywords/>
  <dc:description/>
  <cp:lastModifiedBy>Kate Zhang</cp:lastModifiedBy>
  <cp:revision/>
  <dcterms:created xsi:type="dcterms:W3CDTF">2023-10-30T06:39:50Z</dcterms:created>
  <dcterms:modified xsi:type="dcterms:W3CDTF">2026-06-29T03:44:00Z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d26e28e-cee4-4628-ace0-04ca983c70e6_Enabled">
    <vt:lpwstr>true</vt:lpwstr>
  </property>
  <property fmtid="{D5CDD505-2E9C-101B-9397-08002B2CF9AE}" pid="3" name="MSIP_Label_3d26e28e-cee4-4628-ace0-04ca983c70e6_SetDate">
    <vt:lpwstr>2023-10-30T06:40:26Z</vt:lpwstr>
  </property>
  <property fmtid="{D5CDD505-2E9C-101B-9397-08002B2CF9AE}" pid="4" name="MSIP_Label_3d26e28e-cee4-4628-ace0-04ca983c70e6_Method">
    <vt:lpwstr>Privileged</vt:lpwstr>
  </property>
  <property fmtid="{D5CDD505-2E9C-101B-9397-08002B2CF9AE}" pid="5" name="MSIP_Label_3d26e28e-cee4-4628-ace0-04ca983c70e6_Name">
    <vt:lpwstr>Confidential</vt:lpwstr>
  </property>
  <property fmtid="{D5CDD505-2E9C-101B-9397-08002B2CF9AE}" pid="6" name="MSIP_Label_3d26e28e-cee4-4628-ace0-04ca983c70e6_SiteId">
    <vt:lpwstr>6f41eebe-f4f6-41f6-9d01-03d70104f18c</vt:lpwstr>
  </property>
  <property fmtid="{D5CDD505-2E9C-101B-9397-08002B2CF9AE}" pid="7" name="MSIP_Label_3d26e28e-cee4-4628-ace0-04ca983c70e6_ActionId">
    <vt:lpwstr>cf387b64-74ab-441a-8057-869c7b945de6</vt:lpwstr>
  </property>
  <property fmtid="{D5CDD505-2E9C-101B-9397-08002B2CF9AE}" pid="8" name="MSIP_Label_3d26e28e-cee4-4628-ace0-04ca983c70e6_ContentBits">
    <vt:lpwstr>2</vt:lpwstr>
  </property>
  <property fmtid="{D5CDD505-2E9C-101B-9397-08002B2CF9AE}" pid="9" name="ContentTypeId">
    <vt:lpwstr>0x010100252F1BFCADBC0848A5FED0D06D89763B</vt:lpwstr>
  </property>
  <property fmtid="{D5CDD505-2E9C-101B-9397-08002B2CF9AE}" pid="10" name="MediaServiceImageTags">
    <vt:lpwstr/>
  </property>
  <property fmtid="{D5CDD505-2E9C-101B-9397-08002B2CF9AE}" pid="11" name="ComplianceAssetId">
    <vt:lpwstr/>
  </property>
  <property fmtid="{D5CDD505-2E9C-101B-9397-08002B2CF9AE}" pid="12" name="_ExtendedDescription">
    <vt:lpwstr/>
  </property>
  <property fmtid="{D5CDD505-2E9C-101B-9397-08002B2CF9AE}" pid="13" name="TriggerFlowInfo">
    <vt:lpwstr/>
  </property>
</Properties>
</file>